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5.xml" ContentType="application/vnd.openxmlformats-officedocument.drawingml.chartshape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03-Analyses\1-Bilans\2024\Bilan définitif 2024\27_Fichier de diffusion\Synthèse\"/>
    </mc:Choice>
  </mc:AlternateContent>
  <bookViews>
    <workbookView xWindow="0" yWindow="0" windowWidth="20340" windowHeight="7050" tabRatio="493" activeTab="4"/>
  </bookViews>
  <sheets>
    <sheet name="Figure 1" sheetId="29" r:id="rId1"/>
    <sheet name="Figure 2" sheetId="28" r:id="rId2"/>
    <sheet name="Figure 3" sheetId="30" r:id="rId3"/>
    <sheet name="Figure 4" sheetId="31" r:id="rId4"/>
    <sheet name="Figure 5" sheetId="32" r:id="rId5"/>
    <sheet name="Encadré 1" sheetId="35" r:id="rId6"/>
    <sheet name="Encadré 2" sheetId="27" r:id="rId7"/>
  </sheets>
  <externalReferences>
    <externalReference r:id="rId8"/>
    <externalReference r:id="rId9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1" i="30" l="1"/>
  <c r="D51" i="30"/>
  <c r="E51" i="30"/>
  <c r="F51" i="30"/>
  <c r="G51" i="30"/>
  <c r="H51" i="30"/>
  <c r="I51" i="30"/>
  <c r="J51" i="30"/>
  <c r="K51" i="30"/>
  <c r="C52" i="30"/>
  <c r="D52" i="30"/>
  <c r="E52" i="30"/>
  <c r="F52" i="30"/>
  <c r="G52" i="30"/>
  <c r="H52" i="30"/>
  <c r="I52" i="30"/>
  <c r="J52" i="30"/>
  <c r="K52" i="30"/>
  <c r="M5" i="32" l="1"/>
  <c r="M6" i="32"/>
  <c r="M7" i="32"/>
  <c r="M8" i="32"/>
  <c r="M9" i="32"/>
  <c r="M10" i="32"/>
  <c r="M11" i="32"/>
  <c r="M12" i="32"/>
  <c r="M13" i="32"/>
  <c r="M14" i="32"/>
  <c r="M15" i="32"/>
  <c r="M16" i="32"/>
  <c r="M17" i="32"/>
  <c r="M18" i="32"/>
  <c r="M19" i="32"/>
  <c r="M20" i="32"/>
  <c r="M21" i="32"/>
  <c r="E6" i="32"/>
  <c r="E7" i="32"/>
  <c r="E8" i="32"/>
  <c r="E9" i="32"/>
  <c r="E10" i="32"/>
  <c r="E11" i="32"/>
  <c r="E12" i="32"/>
  <c r="E13" i="32"/>
  <c r="E14" i="32"/>
  <c r="E15" i="32"/>
  <c r="E16" i="32"/>
  <c r="E17" i="32"/>
  <c r="E18" i="32"/>
  <c r="E19" i="32"/>
  <c r="E20" i="32"/>
  <c r="E21" i="32"/>
  <c r="E5" i="32"/>
  <c r="L6" i="31" l="1"/>
  <c r="L7" i="31"/>
  <c r="L8" i="31"/>
  <c r="L9" i="31"/>
  <c r="L10" i="31"/>
  <c r="L11" i="31"/>
  <c r="L12" i="31"/>
  <c r="L13" i="31"/>
  <c r="L14" i="31"/>
  <c r="L15" i="31"/>
  <c r="L16" i="31"/>
  <c r="L17" i="31"/>
  <c r="L18" i="31"/>
  <c r="L19" i="31"/>
  <c r="L5" i="31"/>
  <c r="D6" i="31"/>
  <c r="D7" i="31"/>
  <c r="D8" i="31"/>
  <c r="D9" i="31"/>
  <c r="D10" i="31"/>
  <c r="D11" i="31"/>
  <c r="D12" i="31"/>
  <c r="D13" i="31"/>
  <c r="D14" i="31"/>
  <c r="D15" i="31"/>
  <c r="D16" i="31"/>
  <c r="D17" i="31"/>
  <c r="D18" i="31"/>
  <c r="D19" i="31"/>
  <c r="D5" i="31"/>
  <c r="F20" i="28" l="1"/>
  <c r="L5" i="27" l="1"/>
</calcChain>
</file>

<file path=xl/sharedStrings.xml><?xml version="1.0" encoding="utf-8"?>
<sst xmlns="http://schemas.openxmlformats.org/spreadsheetml/2006/main" count="223" uniqueCount="148">
  <si>
    <t>Victime</t>
  </si>
  <si>
    <t xml:space="preserve">Violences sexuelles </t>
  </si>
  <si>
    <t>Infraction</t>
  </si>
  <si>
    <t>Vols violents sans arme</t>
  </si>
  <si>
    <t>Vols sans violence contre des personnes</t>
  </si>
  <si>
    <t>Victime entendue</t>
  </si>
  <si>
    <t>Véhicule</t>
  </si>
  <si>
    <t xml:space="preserve">Vols dans les véhicules </t>
  </si>
  <si>
    <t>Vols d'accessoires sur véhicules</t>
  </si>
  <si>
    <t>Destructions et dégradations volontaires</t>
  </si>
  <si>
    <t>Usage de stupéfiants</t>
  </si>
  <si>
    <t>Mis en cause</t>
  </si>
  <si>
    <t>Trafic de stupéfiants</t>
  </si>
  <si>
    <t xml:space="preserve">Escroqueries et les fraudes aux moyens de paiement </t>
  </si>
  <si>
    <t>Violences sexuelles</t>
  </si>
  <si>
    <t>Tentatives d'homicide</t>
  </si>
  <si>
    <t xml:space="preserve">Ensemble </t>
  </si>
  <si>
    <t>Nombre de crimes et délits enregistrés</t>
  </si>
  <si>
    <t>Escroqueries et fraudes aux moyens de paiement</t>
  </si>
  <si>
    <t>Tentatives d’homicide</t>
  </si>
  <si>
    <t>Cambriolages de logement</t>
  </si>
  <si>
    <t>Tranches de délai de dépôt de plainte</t>
  </si>
  <si>
    <t>2016</t>
  </si>
  <si>
    <t>2017</t>
  </si>
  <si>
    <t>2018</t>
  </si>
  <si>
    <t>2019</t>
  </si>
  <si>
    <t>2020</t>
  </si>
  <si>
    <t>2021</t>
  </si>
  <si>
    <t>2022</t>
  </si>
  <si>
    <t>2023</t>
  </si>
  <si>
    <t>Moins d'un mois</t>
  </si>
  <si>
    <t>Entre 1 mois et 3 mois</t>
  </si>
  <si>
    <t>Entre 3 mois et 6 mois</t>
  </si>
  <si>
    <t>Entre 6 mois et 1 an</t>
  </si>
  <si>
    <t>Entre 1 an et 2 ans</t>
  </si>
  <si>
    <t>Entre 2 ans et 5 ans</t>
  </si>
  <si>
    <t>Plus de 5 ans</t>
  </si>
  <si>
    <t>Moins de 3 mois</t>
  </si>
  <si>
    <t>Plus d'un an</t>
  </si>
  <si>
    <t>Homicides</t>
  </si>
  <si>
    <t>Vols avec armes</t>
  </si>
  <si>
    <t>Vols dans les véhicules</t>
  </si>
  <si>
    <t>Vols d’accessoires sur les véhicules</t>
  </si>
  <si>
    <t>Taux de dépôt de plainte estimés à partir de l’enquête Vécu et ressenti en matière de sécurité</t>
  </si>
  <si>
    <t>Atteintes aux personnes</t>
  </si>
  <si>
    <t>Part de victimes ayant déposé plainte (en %)</t>
  </si>
  <si>
    <t>Violences physiques</t>
  </si>
  <si>
    <t>Violences conjugales</t>
  </si>
  <si>
    <t>Harcèlement moral</t>
  </si>
  <si>
    <t>Menaces</t>
  </si>
  <si>
    <t>Injures</t>
  </si>
  <si>
    <t>Atteintes aux biens</t>
  </si>
  <si>
    <t>Tentative</t>
  </si>
  <si>
    <t>Vols ou tentatives de vol avec effraction (résidence principale)</t>
  </si>
  <si>
    <t>Vols sans effraction (résidence principale)</t>
  </si>
  <si>
    <t>Actes de vandalisme contre le logement</t>
  </si>
  <si>
    <t>Vols ou tentatives de vol de voiture</t>
  </si>
  <si>
    <t>Vols ou tentatives de vol d'objet dans ou sur la voiture</t>
  </si>
  <si>
    <t>Actes de vandalisme contre la voiture</t>
  </si>
  <si>
    <t>Vols ou tentatives de vol de deux-roues à moteur</t>
  </si>
  <si>
    <t>Vols ou tentatives de vol de vélo</t>
  </si>
  <si>
    <t>Débits frauduleux</t>
  </si>
  <si>
    <t xml:space="preserve">  - dont viols et tentatives de viol</t>
  </si>
  <si>
    <t>&gt; dont viols et tentatives de viol</t>
  </si>
  <si>
    <t>2021-2022</t>
  </si>
  <si>
    <t>2022-2023</t>
  </si>
  <si>
    <t>Vols de véhicule</t>
  </si>
  <si>
    <t>Violences physiques intrafamiliales</t>
  </si>
  <si>
    <t>Violences physiques hors cadre familial</t>
  </si>
  <si>
    <r>
      <t>Evolution (</t>
    </r>
    <r>
      <rPr>
        <b/>
        <i/>
        <sz val="8"/>
        <color rgb="FFFFFFFF"/>
        <rFont val="Palatino Linotype"/>
        <family val="1"/>
      </rPr>
      <t>en %)</t>
    </r>
  </si>
  <si>
    <t>2023-2024</t>
  </si>
  <si>
    <t>Conjugal</t>
  </si>
  <si>
    <t>Intrafamilial non conjugal</t>
  </si>
  <si>
    <t xml:space="preserve">Violences physiques </t>
  </si>
  <si>
    <t>Ensemble</t>
  </si>
  <si>
    <t>Hors cadre famililal</t>
  </si>
  <si>
    <t>Femmes</t>
  </si>
  <si>
    <t>Hommes</t>
  </si>
  <si>
    <t>Moins de 10 ans</t>
  </si>
  <si>
    <t>10 - 17 ans</t>
  </si>
  <si>
    <t>18-29 ans</t>
  </si>
  <si>
    <t>30-44 ans</t>
  </si>
  <si>
    <t>45-59 ans</t>
  </si>
  <si>
    <t xml:space="preserve">60 ans ou plus </t>
  </si>
  <si>
    <t xml:space="preserve">Français </t>
  </si>
  <si>
    <t>Etrangers</t>
  </si>
  <si>
    <r>
      <t xml:space="preserve">  </t>
    </r>
    <r>
      <rPr>
        <i/>
        <sz val="11"/>
        <color theme="1"/>
        <rFont val="Calibri"/>
        <family val="2"/>
        <scheme val="minor"/>
      </rPr>
      <t>dont viols et tentatives de viol</t>
    </r>
  </si>
  <si>
    <t xml:space="preserve">Violences physiques intrafamiliales </t>
  </si>
  <si>
    <t>Moins de 13 ans</t>
  </si>
  <si>
    <t>13 à 17 ans</t>
  </si>
  <si>
    <t>18 à 29 ans</t>
  </si>
  <si>
    <t>30 à 44 ans</t>
  </si>
  <si>
    <t>45 à 59 ans</t>
  </si>
  <si>
    <t>60 ans ou plus</t>
  </si>
  <si>
    <r>
      <t xml:space="preserve">  </t>
    </r>
    <r>
      <rPr>
        <b/>
        <i/>
        <sz val="11"/>
        <color theme="1"/>
        <rFont val="Calibri"/>
        <family val="2"/>
        <scheme val="minor"/>
      </rPr>
      <t>dont viols et tentatives de viol</t>
    </r>
  </si>
  <si>
    <t>2024</t>
  </si>
  <si>
    <t>Violences sexuelles physiques*</t>
  </si>
  <si>
    <t>Violences sexuelles non physiques**</t>
  </si>
  <si>
    <t>Atteintes à la vie privée***</t>
  </si>
  <si>
    <t>*  Viols, tentatives de viol et autres agressions sexuelles</t>
  </si>
  <si>
    <t>** Harcèlement sexuel, exhibition sexuelle et envoi d'images à caractère sexuel et non sollicitées</t>
  </si>
  <si>
    <t>*** Diffusion d'images ou d'informations personnelles et usurpation d'identité</t>
  </si>
  <si>
    <t>Part de victimes ayant déposé plainte* (en %)</t>
  </si>
  <si>
    <t>Vol</t>
  </si>
  <si>
    <t>Logements</t>
  </si>
  <si>
    <t>Véhicules</t>
  </si>
  <si>
    <t>Vols divers</t>
  </si>
  <si>
    <t>Vols ou tentatives de vol avec violence ou menace</t>
  </si>
  <si>
    <t>Vols ou tentatives de vol sans violence ni menace</t>
  </si>
  <si>
    <t>Délinquance économique et financière</t>
  </si>
  <si>
    <t>Arnaques (avec perte d'argent)</t>
  </si>
  <si>
    <t>*Y compris plainte électronique THESEE pour les arnaques</t>
  </si>
  <si>
    <r>
      <rPr>
        <b/>
        <sz val="10"/>
        <rFont val="Arial"/>
        <family val="2"/>
      </rPr>
      <t>Lecture</t>
    </r>
    <r>
      <rPr>
        <sz val="10"/>
        <rFont val="Arial"/>
        <family val="2"/>
      </rPr>
      <t xml:space="preserve"> : 4 % des personnes s'étant déclarées victimes d'injures en 2022 ont déposé plainte auprès de la police ou de la gendarmerie. </t>
    </r>
  </si>
  <si>
    <r>
      <rPr>
        <b/>
        <sz val="10"/>
        <rFont val="Arial"/>
        <family val="2"/>
      </rPr>
      <t>Champ</t>
    </r>
    <r>
      <rPr>
        <sz val="10"/>
        <rFont val="Arial"/>
        <family val="2"/>
      </rPr>
      <t xml:space="preserve"> : Personnes âgées de 18 ans ou plus vivant en logement ordinaire en France métropolitaine, Martinique, Guadeloupe ou à La Réunion.</t>
    </r>
  </si>
  <si>
    <r>
      <rPr>
        <b/>
        <sz val="10"/>
        <rFont val="Arial"/>
        <family val="2"/>
      </rPr>
      <t xml:space="preserve">Source : </t>
    </r>
    <r>
      <rPr>
        <sz val="10"/>
        <rFont val="Arial"/>
        <family val="2"/>
      </rPr>
      <t>SSMSI, enquête Vécu et ressenti en matière de sécurité (VRS) 2023 (questionnaire socle), traitement SSMSI.</t>
    </r>
  </si>
  <si>
    <t>Les pourcentages et les nombres sont présentés sans chiffre après la virgule. En fonction des arrondis, la somme des pourcentages peut donner des résultats légèrement inférieurs ou supérieurs à 100 % ; de même la somme des nombres peut légèrement différer du total arrondi.</t>
  </si>
  <si>
    <r>
      <t>Note :</t>
    </r>
    <r>
      <rPr>
        <sz val="12"/>
        <color theme="1"/>
        <rFont val="Marianne Light"/>
        <family val="3"/>
      </rPr>
      <t xml:space="preserve"> les étiquettes des données sont indiquées quand la part des mis en cause est supérieure à celle de leur répartition dans la population française selon la caractéristique visée. </t>
    </r>
  </si>
  <si>
    <r>
      <t>Lecture :</t>
    </r>
    <r>
      <rPr>
        <sz val="12"/>
        <color theme="1"/>
        <rFont val="Marianne Light"/>
        <family val="3"/>
      </rPr>
      <t xml:space="preserve"> En 2024, 12 % des mis en cause pour destructions et dégradations volontaires enregistrés par la police et la gendarmerie nationales sont des femmes</t>
    </r>
  </si>
  <si>
    <r>
      <t>Champ :</t>
    </r>
    <r>
      <rPr>
        <sz val="12"/>
        <color theme="1"/>
        <rFont val="Marianne Light"/>
        <family val="3"/>
      </rPr>
      <t xml:space="preserve"> Personnes physiques, France.</t>
    </r>
  </si>
  <si>
    <t xml:space="preserve">Note : les étiquettes des données sont indiquées quand la part des mis en cause est supérieure à celle de leur répartition dans la population française selon la caractéristique visée. </t>
  </si>
  <si>
    <t>Lecture : 89 % des victimes de viols et tentatives de viols sont des femmes en 2024. En France, 52 % de la population sont des femmes.</t>
  </si>
  <si>
    <t>Champ : personnes physiques, France.</t>
  </si>
  <si>
    <t>Sources : SSMSI, base statistique des victimes enregistrées par la police et la gendarmerie en 2024 ; Insee, estimations de population 2024.</t>
  </si>
  <si>
    <r>
      <t xml:space="preserve">Champ : </t>
    </r>
    <r>
      <rPr>
        <sz val="11"/>
        <color theme="1"/>
        <rFont val="Marianne Light"/>
        <family val="3"/>
      </rPr>
      <t>France.</t>
    </r>
  </si>
  <si>
    <r>
      <t xml:space="preserve">Lecture : </t>
    </r>
    <r>
      <rPr>
        <sz val="12"/>
        <color theme="1"/>
        <rFont val="Marianne Light"/>
        <family val="3"/>
      </rPr>
      <t>La proportion de violences sexuelles commises plus d'un an avant le dépôt de plainte a nettement augmenté avant 2021 avant de se stabiliser, passant de 29 % en 2016 à environ 39 % depuis 2021.</t>
    </r>
  </si>
  <si>
    <r>
      <t xml:space="preserve">Champ : </t>
    </r>
    <r>
      <rPr>
        <sz val="12"/>
        <color theme="1"/>
        <rFont val="Marianne Light"/>
        <family val="3"/>
      </rPr>
      <t>France.</t>
    </r>
  </si>
  <si>
    <r>
      <t xml:space="preserve">Source : </t>
    </r>
    <r>
      <rPr>
        <i/>
        <sz val="12"/>
        <color theme="1"/>
        <rFont val="Marianne Light"/>
        <family val="3"/>
      </rPr>
      <t>SSMSI, bases statistiques des victimes de crimes et délits enregistrés par la police et la gendarmerie entre 2016 et 2024.</t>
    </r>
  </si>
  <si>
    <r>
      <t xml:space="preserve">Champ : </t>
    </r>
    <r>
      <rPr>
        <sz val="10"/>
        <color theme="1"/>
        <rFont val="Marianne Light"/>
        <family val="3"/>
      </rPr>
      <t>France, personnes physiques.</t>
    </r>
  </si>
  <si>
    <r>
      <t xml:space="preserve">Sources : </t>
    </r>
    <r>
      <rPr>
        <i/>
        <sz val="10"/>
        <color theme="1"/>
        <rFont val="Marianne Light"/>
        <family val="3"/>
      </rPr>
      <t>SSMSI, bases statistiques des victimes enregistrées par la police et la gendarmerie entre 2021 et 2024.</t>
    </r>
  </si>
  <si>
    <r>
      <t xml:space="preserve">Lecture : </t>
    </r>
    <r>
      <rPr>
        <sz val="10"/>
        <color theme="1"/>
        <rFont val="Marianne Light"/>
        <family val="3"/>
      </rPr>
      <t>Le nombre de victimes de violences physiques augmente en 2024 de 1</t>
    </r>
    <r>
      <rPr>
        <sz val="10"/>
        <color theme="1"/>
        <rFont val="Calibri"/>
        <family val="2"/>
      </rPr>
      <t> </t>
    </r>
    <r>
      <rPr>
        <sz val="10"/>
        <color theme="1"/>
        <rFont val="Marianne Light"/>
        <family val="3"/>
      </rPr>
      <t>%</t>
    </r>
    <r>
      <rPr>
        <sz val="10"/>
        <color theme="1"/>
        <rFont val="Calibri"/>
        <family val="2"/>
      </rPr>
      <t xml:space="preserve">. </t>
    </r>
    <r>
      <rPr>
        <sz val="10"/>
        <color theme="1"/>
        <rFont val="Marianne Light"/>
        <family val="3"/>
      </rPr>
      <t>Les victimes de violences physiques intrafamiliales augmentent de 3 %, tandis que les victimes de violences hors cadre familial sont stables (+0%). Les victimes de violences intrafamiliales non conjugales et notamment sur mineurs contribuent pour l’essentiel (1 point de pourcentage) à la croissance observée de 1 % des violences physiques en 2024.</t>
    </r>
  </si>
  <si>
    <r>
      <t xml:space="preserve">Lecture : </t>
    </r>
    <r>
      <rPr>
        <sz val="11"/>
        <color theme="1"/>
        <rFont val="Marianne Light"/>
        <family val="3"/>
      </rPr>
      <t>Entre 2016 et 2024, la croissance annuelle moyenne des homicides, y compris attentats, est de 1 %. La base 100 du graphique est en 2019. Entre 2019 et 2024, les victimes d’homicide ont augmenté de 14 % (114).</t>
    </r>
  </si>
  <si>
    <r>
      <t xml:space="preserve">Sources : </t>
    </r>
    <r>
      <rPr>
        <i/>
        <sz val="11"/>
        <color theme="1"/>
        <rFont val="Marianne Light"/>
        <family val="3"/>
      </rPr>
      <t>SSMSI, bases statistiques des infractions enregistrées ou élucidées par la police et la gendarmerie entre 2016 et 2024 ; bases statistiques des victimes enregistrées par la police et la gendarmerie entre 2016 et 2024</t>
    </r>
    <r>
      <rPr>
        <i/>
        <sz val="11"/>
        <color theme="1"/>
        <rFont val="Calibri"/>
        <family val="2"/>
      </rPr>
      <t> </t>
    </r>
    <r>
      <rPr>
        <i/>
        <sz val="11"/>
        <color theme="1"/>
        <rFont val="Marianne Light"/>
        <family val="3"/>
      </rPr>
      <t>; bases statistiques des mis en cause pour des infractions élucidées par la police et la gendarmerie entre 2016 et 2025.</t>
    </r>
  </si>
  <si>
    <r>
      <t xml:space="preserve">Figure 1 </t>
    </r>
    <r>
      <rPr>
        <b/>
        <sz val="9"/>
        <color theme="1"/>
        <rFont val="Marianne"/>
        <family val="3"/>
      </rPr>
      <t>– Indicateurs de la délinquance enregistrée par la police et la gendarmerie nationales en 2024 et évolutions annuelles de 2019 à 2024</t>
    </r>
  </si>
  <si>
    <t xml:space="preserve">  - dont violences physiques intrafamiliales</t>
  </si>
  <si>
    <t xml:space="preserve">  - dont violences physiques hors cadre familial</t>
  </si>
  <si>
    <t>Unité de compte</t>
  </si>
  <si>
    <r>
      <t xml:space="preserve">Champ : </t>
    </r>
    <r>
      <rPr>
        <sz val="7"/>
        <color rgb="FF000000"/>
        <rFont val="Marianne-Light"/>
      </rPr>
      <t>France.</t>
    </r>
  </si>
  <si>
    <r>
      <t xml:space="preserve">Sources : </t>
    </r>
    <r>
      <rPr>
        <i/>
        <sz val="7"/>
        <color rgb="FF000000"/>
        <rFont val="Marianne-LightItalic"/>
      </rPr>
      <t>SSMSI, bases statistiques des infractions enregistrées ou élucidées par la police et la gendarmerie entre 2018 et 2024 ; bases statistiques des victimes enregistrées par la police et la gendarmerie entre 2018 et 2024 ; bases statistiques des mis en cause pour des infractions élucidées par la police et la gendarmerie entre 2018 et 2025.</t>
    </r>
  </si>
  <si>
    <r>
      <t xml:space="preserve">Note : </t>
    </r>
    <r>
      <rPr>
        <sz val="7"/>
        <color rgb="FF000000"/>
        <rFont val="Marianne-Light"/>
      </rPr>
      <t xml:space="preserve">Les données de 2016 à 2024 sont diffusées dans le fichier de données complémentaires. En fonction des arrondis, la somme des effectifs des sous-catégories peut donner un résultat légèrement inférieur ou supérieur au total. </t>
    </r>
    <r>
      <rPr>
        <sz val="7"/>
        <color rgb="FF000000"/>
        <rFont val="Marianne-Medium"/>
      </rPr>
      <t/>
    </r>
  </si>
  <si>
    <t>Lecture : En 2024, 976 personnes ont été victimes d’un homicide en France, soit une diminution de 2 % par rapport à 2023. Entre 2022 et 2023, le nombre d’homicides a augmenté de 4 %.</t>
  </si>
  <si>
    <t>Taux de croissance annuel moyen (moyenne annuelle)</t>
  </si>
  <si>
    <r>
      <t xml:space="preserve">Figure encadré </t>
    </r>
    <r>
      <rPr>
        <sz val="11"/>
        <color theme="1"/>
        <rFont val="Marianne Light"/>
        <family val="3"/>
      </rPr>
      <t>– Évolutions de la délinquance enregistrée sur la période 2016-2024 (base 100 en 2019)</t>
    </r>
  </si>
  <si>
    <r>
      <t xml:space="preserve">Figure 2 </t>
    </r>
    <r>
      <rPr>
        <b/>
        <sz val="9"/>
        <color theme="1"/>
        <rFont val="Marianne"/>
        <family val="3"/>
      </rPr>
      <t>– Évolution (en %) et contribution des violences intrafamiliales entre 2021 et 2024 (en points de pourcentage)</t>
    </r>
  </si>
  <si>
    <r>
      <t xml:space="preserve">Figure 3 </t>
    </r>
    <r>
      <rPr>
        <b/>
        <sz val="9"/>
        <color theme="1"/>
        <rFont val="Marianne"/>
        <family val="3"/>
      </rPr>
      <t>– Distribution des délais de dépôts de plainte pour les violences sexuelles de 2016 à 2024 (en %)</t>
    </r>
  </si>
  <si>
    <r>
      <t>Note</t>
    </r>
    <r>
      <rPr>
        <sz val="12"/>
        <color theme="1"/>
        <rFont val="Calibri"/>
        <family val="2"/>
      </rPr>
      <t> </t>
    </r>
    <r>
      <rPr>
        <sz val="12"/>
        <color theme="1"/>
        <rFont val="Marianne Medium"/>
        <family val="3"/>
      </rPr>
      <t xml:space="preserve">: </t>
    </r>
    <r>
      <rPr>
        <sz val="12"/>
        <color theme="1"/>
        <rFont val="Marianne Light"/>
        <family val="3"/>
      </rPr>
      <t>La proportion des délais de dépôt de plainte pour une infraction commise moins d’un mois avant sa commission est incluse dans celle pour une infraction commise moins de 3 mois avant sa commission. De même, la part des «</t>
    </r>
    <r>
      <rPr>
        <sz val="12"/>
        <color theme="1"/>
        <rFont val="Calibri"/>
        <family val="2"/>
      </rPr>
      <t> </t>
    </r>
    <r>
      <rPr>
        <sz val="12"/>
        <color theme="1"/>
        <rFont val="Marianne Light"/>
        <family val="3"/>
      </rPr>
      <t>plus de 5 ans</t>
    </r>
    <r>
      <rPr>
        <sz val="12"/>
        <color theme="1"/>
        <rFont val="Calibri"/>
        <family val="2"/>
      </rPr>
      <t> </t>
    </r>
    <r>
      <rPr>
        <sz val="12"/>
        <color theme="1"/>
        <rFont val="Marianne Light"/>
        <family val="3"/>
      </rPr>
      <t>» est incluse dans celle des «</t>
    </r>
    <r>
      <rPr>
        <sz val="12"/>
        <color theme="1"/>
        <rFont val="Calibri"/>
        <family val="2"/>
      </rPr>
      <t> </t>
    </r>
    <r>
      <rPr>
        <sz val="12"/>
        <color theme="1"/>
        <rFont val="Marianne Light"/>
        <family val="3"/>
      </rPr>
      <t>plus d’un an</t>
    </r>
    <r>
      <rPr>
        <sz val="12"/>
        <color theme="1"/>
        <rFont val="Calibri"/>
        <family val="2"/>
      </rPr>
      <t> </t>
    </r>
    <r>
      <rPr>
        <sz val="12"/>
        <color theme="1"/>
        <rFont val="Marianne Light"/>
        <family val="3"/>
      </rPr>
      <t>».</t>
    </r>
  </si>
  <si>
    <r>
      <t xml:space="preserve">Figure 4 -  </t>
    </r>
    <r>
      <rPr>
        <b/>
        <sz val="9"/>
        <color theme="1"/>
        <rFont val="Marianne"/>
        <family val="3"/>
      </rPr>
      <t>Profil des victimes enregistrées par la police et la gendarmerie nationales en 2024 (en %)</t>
    </r>
  </si>
  <si>
    <r>
      <t xml:space="preserve">Figure 5 </t>
    </r>
    <r>
      <rPr>
        <b/>
        <sz val="9"/>
        <color theme="1"/>
        <rFont val="Marianne"/>
        <family val="3"/>
      </rPr>
      <t>– Profil des mis en cause enregistrés par la police et la gendarmerie nationales en 2024 (en %)</t>
    </r>
  </si>
  <si>
    <r>
      <t>Sources :</t>
    </r>
    <r>
      <rPr>
        <sz val="12"/>
        <color theme="1"/>
        <rFont val="Marianne Light"/>
        <family val="3"/>
      </rPr>
      <t xml:space="preserve"> SSMSI, base statistique sur les mis en cause des infractions élucidées par la police et la gendarmerie nationales entre 2024 et 2025 ; Insee, estimations de population 2024.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</si>
</sst>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\ _€_-;\-* #,##0.00\ _€_-;_-* &quot;-&quot;??\ _€_-;_-@_-"/>
    <numFmt numFmtId="165" formatCode="0.0"/>
    <numFmt numFmtId="166" formatCode="0\ %"/>
  </numFmts>
  <fonts count="6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5B9BD5"/>
      <name val="Palatino Linotype"/>
      <family val="1"/>
    </font>
    <font>
      <b/>
      <sz val="8"/>
      <color rgb="FFFFFFFF"/>
      <name val="Palatino Linotype"/>
      <family val="1"/>
    </font>
    <font>
      <b/>
      <i/>
      <sz val="8"/>
      <color rgb="FFFFFFFF"/>
      <name val="Palatino Linotype"/>
      <family val="1"/>
    </font>
    <font>
      <sz val="8"/>
      <color rgb="FF000000"/>
      <name val="Palatino Linotype"/>
      <family val="1"/>
    </font>
    <font>
      <sz val="8"/>
      <color theme="1"/>
      <name val="Palatino Linotype"/>
      <family val="1"/>
    </font>
    <font>
      <i/>
      <sz val="11"/>
      <color theme="1"/>
      <name val="Calibri"/>
      <family val="2"/>
      <scheme val="minor"/>
    </font>
    <font>
      <i/>
      <sz val="8"/>
      <color rgb="FF000000"/>
      <name val="Palatino Linotype"/>
      <family val="1"/>
    </font>
    <font>
      <i/>
      <sz val="8"/>
      <color theme="1"/>
      <name val="Palatino Linotype"/>
      <family val="1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0"/>
      <color theme="1"/>
      <name val="Arial"/>
      <family val="2"/>
    </font>
    <font>
      <i/>
      <sz val="7"/>
      <color rgb="FF000000"/>
      <name val="Marianne-MediumItalic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6.5"/>
      <color theme="1"/>
      <name val="Marianne Medium"/>
      <family val="3"/>
    </font>
    <font>
      <b/>
      <sz val="14"/>
      <color rgb="FF000000"/>
      <name val="Calibri"/>
      <family val="2"/>
    </font>
    <font>
      <sz val="11"/>
      <color theme="1"/>
      <name val="Marianne Light"/>
      <family val="3"/>
    </font>
    <font>
      <sz val="10"/>
      <color theme="1"/>
      <name val="Marianne Medium"/>
      <family val="3"/>
    </font>
    <font>
      <sz val="10"/>
      <color theme="1"/>
      <name val="Marianne Light"/>
      <family val="3"/>
    </font>
    <font>
      <sz val="11"/>
      <color theme="1"/>
      <name val="Marianne Medium"/>
      <family val="3"/>
    </font>
    <font>
      <sz val="12"/>
      <color theme="1"/>
      <name val="Marianne Medium"/>
      <family val="3"/>
    </font>
    <font>
      <sz val="12"/>
      <color theme="1"/>
      <name val="Marianne Light"/>
      <family val="3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Marianne"/>
      <family val="3"/>
    </font>
    <font>
      <b/>
      <sz val="9"/>
      <color rgb="FF008C7C"/>
      <name val="Marianne"/>
      <family val="3"/>
    </font>
    <font>
      <i/>
      <sz val="11"/>
      <color theme="1"/>
      <name val="Marianne Light"/>
      <family val="3"/>
    </font>
    <font>
      <sz val="10"/>
      <color theme="1"/>
      <name val="Calibri"/>
      <family val="2"/>
    </font>
    <font>
      <i/>
      <sz val="10"/>
      <color theme="1"/>
      <name val="Marianne Medium"/>
      <family val="3"/>
    </font>
    <font>
      <i/>
      <sz val="10"/>
      <color theme="1"/>
      <name val="Marianne Light"/>
      <family val="3"/>
    </font>
    <font>
      <i/>
      <sz val="11"/>
      <color theme="1"/>
      <name val="Marianne Medium"/>
      <family val="3"/>
    </font>
    <font>
      <sz val="12"/>
      <color theme="1"/>
      <name val="Calibri"/>
      <family val="2"/>
    </font>
    <font>
      <i/>
      <sz val="12"/>
      <color theme="1"/>
      <name val="Marianne Medium"/>
      <family val="3"/>
    </font>
    <font>
      <i/>
      <sz val="12"/>
      <color theme="1"/>
      <name val="Marianne Light"/>
      <family val="3"/>
    </font>
    <font>
      <sz val="11"/>
      <color rgb="FF008C7C"/>
      <name val="Marianne Light"/>
      <family val="3"/>
    </font>
    <font>
      <i/>
      <sz val="11"/>
      <color theme="1"/>
      <name val="Calibri"/>
      <family val="2"/>
    </font>
    <font>
      <sz val="7"/>
      <color rgb="FF000000"/>
      <name val="Marianne-Medium"/>
    </font>
    <font>
      <sz val="7"/>
      <color rgb="FF000000"/>
      <name val="Marianne-Light"/>
    </font>
    <font>
      <i/>
      <sz val="7"/>
      <color rgb="FF000000"/>
      <name val="Marianne-LightItalic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34F9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</borders>
  <cellStyleXfs count="52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7" fillId="33" borderId="0" applyNumberFormat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9" borderId="8" applyNumberFormat="0" applyFont="0" applyAlignment="0" applyProtection="0"/>
    <xf numFmtId="164" fontId="2" fillId="0" borderId="0" applyFont="0" applyFill="0" applyBorder="0" applyAlignment="0" applyProtection="0"/>
    <xf numFmtId="0" fontId="18" fillId="0" borderId="0"/>
    <xf numFmtId="9" fontId="2" fillId="0" borderId="0" applyFont="0" applyFill="0" applyBorder="0" applyAlignment="0" applyProtection="0"/>
  </cellStyleXfs>
  <cellXfs count="148">
    <xf numFmtId="0" fontId="0" fillId="0" borderId="0" xfId="0"/>
    <xf numFmtId="0" fontId="0" fillId="2" borderId="0" xfId="0" applyFill="1"/>
    <xf numFmtId="1" fontId="0" fillId="2" borderId="0" xfId="0" applyNumberFormat="1" applyFill="1"/>
    <xf numFmtId="0" fontId="19" fillId="34" borderId="10" xfId="0" applyFont="1" applyFill="1" applyBorder="1" applyAlignment="1">
      <alignment vertical="center"/>
    </xf>
    <xf numFmtId="0" fontId="19" fillId="34" borderId="14" xfId="0" applyFont="1" applyFill="1" applyBorder="1" applyAlignment="1">
      <alignment vertical="center"/>
    </xf>
    <xf numFmtId="0" fontId="20" fillId="35" borderId="15" xfId="0" applyFont="1" applyFill="1" applyBorder="1" applyAlignment="1">
      <alignment horizontal="center" vertical="center" wrapText="1"/>
    </xf>
    <xf numFmtId="0" fontId="22" fillId="36" borderId="16" xfId="0" applyFont="1" applyFill="1" applyBorder="1" applyAlignment="1">
      <alignment horizontal="left" vertical="center" wrapText="1" indent="1"/>
    </xf>
    <xf numFmtId="0" fontId="22" fillId="36" borderId="10" xfId="0" applyFont="1" applyFill="1" applyBorder="1" applyAlignment="1">
      <alignment horizontal="center" vertical="center" wrapText="1"/>
    </xf>
    <xf numFmtId="3" fontId="23" fillId="36" borderId="11" xfId="0" applyNumberFormat="1" applyFont="1" applyFill="1" applyBorder="1" applyAlignment="1">
      <alignment horizontal="center" vertical="center"/>
    </xf>
    <xf numFmtId="0" fontId="22" fillId="34" borderId="16" xfId="0" applyFont="1" applyFill="1" applyBorder="1" applyAlignment="1">
      <alignment horizontal="left" vertical="center" wrapText="1" indent="1"/>
    </xf>
    <xf numFmtId="3" fontId="23" fillId="34" borderId="11" xfId="0" applyNumberFormat="1" applyFont="1" applyFill="1" applyBorder="1" applyAlignment="1">
      <alignment horizontal="center" vertical="center" wrapText="1"/>
    </xf>
    <xf numFmtId="3" fontId="23" fillId="36" borderId="11" xfId="0" applyNumberFormat="1" applyFont="1" applyFill="1" applyBorder="1" applyAlignment="1">
      <alignment horizontal="center" vertical="center" wrapText="1"/>
    </xf>
    <xf numFmtId="0" fontId="25" fillId="36" borderId="16" xfId="0" applyFont="1" applyFill="1" applyBorder="1" applyAlignment="1">
      <alignment horizontal="left" vertical="center" wrapText="1" indent="1"/>
    </xf>
    <xf numFmtId="3" fontId="26" fillId="36" borderId="11" xfId="0" applyNumberFormat="1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left" vertical="center" wrapText="1" indent="1"/>
    </xf>
    <xf numFmtId="0" fontId="22" fillId="34" borderId="14" xfId="0" applyFont="1" applyFill="1" applyBorder="1" applyAlignment="1">
      <alignment horizontal="center" vertical="center" wrapText="1"/>
    </xf>
    <xf numFmtId="3" fontId="23" fillId="34" borderId="1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7" fillId="0" borderId="0" xfId="0" applyFont="1"/>
    <xf numFmtId="0" fontId="27" fillId="0" borderId="0" xfId="0" applyFont="1" applyAlignment="1">
      <alignment horizontal="left" vertical="center"/>
    </xf>
    <xf numFmtId="0" fontId="18" fillId="2" borderId="0" xfId="50" applyFill="1"/>
    <xf numFmtId="0" fontId="0" fillId="2" borderId="33" xfId="0" applyFill="1" applyBorder="1"/>
    <xf numFmtId="0" fontId="0" fillId="0" borderId="0" xfId="0"/>
    <xf numFmtId="0" fontId="31" fillId="37" borderId="38" xfId="0" applyFont="1" applyFill="1" applyBorder="1" applyAlignment="1">
      <alignment horizontal="center" vertical="center" wrapText="1"/>
    </xf>
    <xf numFmtId="0" fontId="32" fillId="0" borderId="33" xfId="0" applyFont="1" applyBorder="1" applyAlignment="1">
      <alignment vertical="center"/>
    </xf>
    <xf numFmtId="1" fontId="33" fillId="0" borderId="33" xfId="0" applyNumberFormat="1" applyFont="1" applyFill="1" applyBorder="1" applyAlignment="1">
      <alignment horizontal="center"/>
    </xf>
    <xf numFmtId="0" fontId="33" fillId="0" borderId="33" xfId="0" applyFont="1" applyBorder="1" applyAlignment="1">
      <alignment vertical="center"/>
    </xf>
    <xf numFmtId="1" fontId="33" fillId="0" borderId="33" xfId="0" applyNumberFormat="1" applyFont="1" applyBorder="1" applyAlignment="1">
      <alignment horizontal="center"/>
    </xf>
    <xf numFmtId="0" fontId="31" fillId="37" borderId="0" xfId="0" applyFont="1" applyFill="1" applyBorder="1" applyAlignment="1">
      <alignment horizontal="center" vertical="center" wrapText="1"/>
    </xf>
    <xf numFmtId="0" fontId="33" fillId="0" borderId="33" xfId="0" applyFont="1" applyBorder="1" applyAlignment="1">
      <alignment horizontal="left"/>
    </xf>
    <xf numFmtId="0" fontId="33" fillId="0" borderId="33" xfId="0" applyFont="1" applyBorder="1" applyAlignment="1">
      <alignment horizontal="left" wrapText="1"/>
    </xf>
    <xf numFmtId="1" fontId="33" fillId="38" borderId="33" xfId="0" applyNumberFormat="1" applyFont="1" applyFill="1" applyBorder="1" applyAlignment="1">
      <alignment horizontal="center"/>
    </xf>
    <xf numFmtId="0" fontId="33" fillId="0" borderId="33" xfId="0" quotePrefix="1" applyFont="1" applyBorder="1" applyAlignment="1">
      <alignment horizontal="left" wrapText="1"/>
    </xf>
    <xf numFmtId="0" fontId="34" fillId="0" borderId="33" xfId="0" applyFont="1" applyBorder="1" applyAlignment="1">
      <alignment horizontal="left"/>
    </xf>
    <xf numFmtId="0" fontId="36" fillId="2" borderId="0" xfId="0" applyFont="1" applyFill="1" applyAlignment="1"/>
    <xf numFmtId="0" fontId="1" fillId="2" borderId="33" xfId="0" applyFont="1" applyFill="1" applyBorder="1"/>
    <xf numFmtId="1" fontId="0" fillId="2" borderId="33" xfId="0" applyNumberFormat="1" applyFill="1" applyBorder="1"/>
    <xf numFmtId="0" fontId="22" fillId="36" borderId="13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2" fillId="34" borderId="13" xfId="0" applyFont="1" applyFill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left" vertical="center" wrapText="1" indent="1"/>
    </xf>
    <xf numFmtId="0" fontId="22" fillId="2" borderId="13" xfId="0" applyFont="1" applyFill="1" applyBorder="1" applyAlignment="1">
      <alignment horizontal="center" vertical="center" wrapText="1"/>
    </xf>
    <xf numFmtId="3" fontId="23" fillId="2" borderId="11" xfId="0" applyNumberFormat="1" applyFont="1" applyFill="1" applyBorder="1" applyAlignment="1">
      <alignment horizontal="center" vertical="center"/>
    </xf>
    <xf numFmtId="1" fontId="23" fillId="36" borderId="11" xfId="0" applyNumberFormat="1" applyFont="1" applyFill="1" applyBorder="1" applyAlignment="1">
      <alignment horizontal="center" vertical="center"/>
    </xf>
    <xf numFmtId="1" fontId="23" fillId="2" borderId="11" xfId="0" applyNumberFormat="1" applyFont="1" applyFill="1" applyBorder="1" applyAlignment="1">
      <alignment horizontal="center" vertical="center"/>
    </xf>
    <xf numFmtId="1" fontId="22" fillId="36" borderId="11" xfId="0" applyNumberFormat="1" applyFont="1" applyFill="1" applyBorder="1" applyAlignment="1">
      <alignment horizontal="center" vertical="center"/>
    </xf>
    <xf numFmtId="1" fontId="25" fillId="36" borderId="11" xfId="0" applyNumberFormat="1" applyFont="1" applyFill="1" applyBorder="1" applyAlignment="1">
      <alignment horizontal="center" vertical="center"/>
    </xf>
    <xf numFmtId="1" fontId="22" fillId="34" borderId="11" xfId="0" applyNumberFormat="1" applyFont="1" applyFill="1" applyBorder="1" applyAlignment="1">
      <alignment horizontal="center" vertical="center"/>
    </xf>
    <xf numFmtId="1" fontId="22" fillId="34" borderId="15" xfId="0" applyNumberFormat="1" applyFont="1" applyFill="1" applyBorder="1" applyAlignment="1">
      <alignment horizontal="center" vertical="center"/>
    </xf>
    <xf numFmtId="0" fontId="20" fillId="35" borderId="42" xfId="0" applyFont="1" applyFill="1" applyBorder="1" applyAlignment="1">
      <alignment horizontal="center" vertical="center" wrapText="1"/>
    </xf>
    <xf numFmtId="3" fontId="0" fillId="2" borderId="0" xfId="0" applyNumberFormat="1" applyFill="1"/>
    <xf numFmtId="165" fontId="0" fillId="2" borderId="0" xfId="0" applyNumberFormat="1" applyFill="1"/>
    <xf numFmtId="0" fontId="0" fillId="2" borderId="0" xfId="0" applyFill="1" applyBorder="1"/>
    <xf numFmtId="0" fontId="1" fillId="2" borderId="0" xfId="0" applyFont="1" applyFill="1" applyBorder="1"/>
    <xf numFmtId="3" fontId="0" fillId="2" borderId="0" xfId="0" applyNumberFormat="1" applyFill="1" applyBorder="1"/>
    <xf numFmtId="1" fontId="0" fillId="2" borderId="0" xfId="0" applyNumberFormat="1" applyFill="1" applyBorder="1"/>
    <xf numFmtId="0" fontId="1" fillId="2" borderId="34" xfId="0" applyFont="1" applyFill="1" applyBorder="1"/>
    <xf numFmtId="1" fontId="0" fillId="2" borderId="34" xfId="0" applyNumberFormat="1" applyFill="1" applyBorder="1"/>
    <xf numFmtId="0" fontId="0" fillId="2" borderId="0" xfId="0" applyNumberFormat="1" applyFill="1"/>
    <xf numFmtId="0" fontId="1" fillId="39" borderId="33" xfId="0" applyFont="1" applyFill="1" applyBorder="1" applyAlignment="1">
      <alignment horizontal="center"/>
    </xf>
    <xf numFmtId="0" fontId="1" fillId="39" borderId="33" xfId="0" applyFont="1" applyFill="1" applyBorder="1" applyAlignment="1">
      <alignment horizontal="center" vertical="center" wrapText="1"/>
    </xf>
    <xf numFmtId="1" fontId="0" fillId="2" borderId="33" xfId="51" applyNumberFormat="1" applyFont="1" applyFill="1" applyBorder="1"/>
    <xf numFmtId="0" fontId="39" fillId="2" borderId="0" xfId="0" applyFont="1" applyFill="1" applyAlignment="1">
      <alignment vertical="center"/>
    </xf>
    <xf numFmtId="0" fontId="40" fillId="2" borderId="0" xfId="0" applyFont="1" applyFill="1"/>
    <xf numFmtId="9" fontId="0" fillId="2" borderId="0" xfId="51" applyFont="1" applyFill="1"/>
    <xf numFmtId="1" fontId="0" fillId="2" borderId="0" xfId="51" applyNumberFormat="1" applyFont="1" applyFill="1"/>
    <xf numFmtId="1" fontId="33" fillId="2" borderId="33" xfId="0" applyNumberFormat="1" applyFont="1" applyFill="1" applyBorder="1" applyAlignment="1">
      <alignment horizontal="center"/>
    </xf>
    <xf numFmtId="1" fontId="33" fillId="2" borderId="0" xfId="0" applyNumberFormat="1" applyFont="1" applyFill="1" applyBorder="1" applyAlignment="1">
      <alignment horizontal="center"/>
    </xf>
    <xf numFmtId="0" fontId="31" fillId="37" borderId="33" xfId="0" applyFont="1" applyFill="1" applyBorder="1" applyAlignment="1">
      <alignment horizontal="center" vertical="center" wrapText="1"/>
    </xf>
    <xf numFmtId="0" fontId="33" fillId="2" borderId="33" xfId="0" applyFont="1" applyFill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49" fillId="2" borderId="0" xfId="0" applyFont="1" applyFill="1"/>
    <xf numFmtId="0" fontId="50" fillId="2" borderId="0" xfId="0" applyFont="1" applyFill="1"/>
    <xf numFmtId="0" fontId="52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61" fillId="0" borderId="0" xfId="0" applyFont="1"/>
    <xf numFmtId="0" fontId="38" fillId="0" borderId="0" xfId="0" applyFont="1" applyAlignment="1">
      <alignment vertical="center" wrapText="1"/>
    </xf>
    <xf numFmtId="0" fontId="57" fillId="0" borderId="0" xfId="0" applyFont="1" applyAlignment="1">
      <alignment horizontal="left" vertical="center"/>
    </xf>
    <xf numFmtId="0" fontId="23" fillId="2" borderId="11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left" vertical="center" wrapText="1" inden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4" xfId="0" applyFont="1" applyFill="1" applyBorder="1" applyAlignment="1">
      <alignment horizontal="center" vertical="center" wrapText="1"/>
    </xf>
    <xf numFmtId="0" fontId="20" fillId="35" borderId="35" xfId="0" applyFont="1" applyFill="1" applyBorder="1" applyAlignment="1">
      <alignment horizontal="center" vertical="center" wrapText="1"/>
    </xf>
    <xf numFmtId="0" fontId="20" fillId="35" borderId="37" xfId="0" applyFont="1" applyFill="1" applyBorder="1" applyAlignment="1">
      <alignment horizontal="center" vertical="center" wrapText="1"/>
    </xf>
    <xf numFmtId="0" fontId="20" fillId="35" borderId="36" xfId="0" applyFont="1" applyFill="1" applyBorder="1" applyAlignment="1">
      <alignment horizontal="center" vertical="center" wrapText="1"/>
    </xf>
    <xf numFmtId="0" fontId="22" fillId="36" borderId="13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28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4" fillId="2" borderId="0" xfId="0" applyFont="1" applyFill="1" applyBorder="1" applyAlignment="1">
      <alignment horizontal="left" vertical="center" wrapText="1"/>
    </xf>
    <xf numFmtId="0" fontId="31" fillId="37" borderId="49" xfId="0" applyFont="1" applyFill="1" applyBorder="1" applyAlignment="1">
      <alignment horizontal="center" vertical="center" wrapText="1"/>
    </xf>
    <xf numFmtId="0" fontId="31" fillId="37" borderId="31" xfId="0" applyFont="1" applyFill="1" applyBorder="1" applyAlignment="1">
      <alignment horizontal="center" vertical="center" wrapText="1"/>
    </xf>
    <xf numFmtId="0" fontId="31" fillId="37" borderId="50" xfId="0" applyFont="1" applyFill="1" applyBorder="1" applyAlignment="1">
      <alignment horizontal="center" vertical="center" wrapText="1"/>
    </xf>
    <xf numFmtId="0" fontId="35" fillId="39" borderId="33" xfId="0" applyFont="1" applyFill="1" applyBorder="1" applyAlignment="1">
      <alignment horizontal="left" vertical="center" wrapText="1"/>
    </xf>
    <xf numFmtId="0" fontId="37" fillId="39" borderId="34" xfId="0" applyFont="1" applyFill="1" applyBorder="1" applyAlignment="1">
      <alignment horizontal="left"/>
    </xf>
    <xf numFmtId="0" fontId="37" fillId="39" borderId="43" xfId="0" applyFont="1" applyFill="1" applyBorder="1" applyAlignment="1">
      <alignment horizontal="left"/>
    </xf>
    <xf numFmtId="0" fontId="37" fillId="39" borderId="44" xfId="0" applyFont="1" applyFill="1" applyBorder="1" applyAlignment="1">
      <alignment horizontal="left"/>
    </xf>
    <xf numFmtId="0" fontId="35" fillId="39" borderId="34" xfId="0" applyFont="1" applyFill="1" applyBorder="1" applyAlignment="1">
      <alignment horizontal="left"/>
    </xf>
    <xf numFmtId="0" fontId="35" fillId="39" borderId="43" xfId="0" applyFont="1" applyFill="1" applyBorder="1" applyAlignment="1">
      <alignment horizontal="left"/>
    </xf>
    <xf numFmtId="0" fontId="35" fillId="39" borderId="44" xfId="0" applyFont="1" applyFill="1" applyBorder="1" applyAlignment="1">
      <alignment horizontal="left"/>
    </xf>
    <xf numFmtId="0" fontId="52" fillId="2" borderId="0" xfId="0" applyFont="1" applyFill="1" applyAlignment="1">
      <alignment horizontal="left" vertical="center"/>
    </xf>
    <xf numFmtId="0" fontId="41" fillId="2" borderId="0" xfId="0" applyFont="1" applyFill="1" applyAlignment="1">
      <alignment horizontal="left" vertical="center"/>
    </xf>
    <xf numFmtId="0" fontId="63" fillId="2" borderId="0" xfId="0" applyFont="1" applyFill="1"/>
    <xf numFmtId="0" fontId="38" fillId="2" borderId="0" xfId="0" applyFont="1" applyFill="1"/>
    <xf numFmtId="0" fontId="1" fillId="2" borderId="33" xfId="0" applyFont="1" applyFill="1" applyBorder="1" applyAlignment="1">
      <alignment horizontal="right" wrapText="1"/>
    </xf>
    <xf numFmtId="0" fontId="1" fillId="2" borderId="3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37" fillId="2" borderId="0" xfId="0" applyFont="1" applyFill="1"/>
    <xf numFmtId="0" fontId="33" fillId="2" borderId="0" xfId="0" applyFont="1" applyFill="1" applyBorder="1" applyAlignment="1">
      <alignment vertical="center"/>
    </xf>
    <xf numFmtId="0" fontId="33" fillId="2" borderId="39" xfId="0" applyFont="1" applyFill="1" applyBorder="1" applyAlignment="1">
      <alignment horizontal="center" vertical="center" wrapText="1"/>
    </xf>
    <xf numFmtId="0" fontId="33" fillId="2" borderId="40" xfId="0" applyFont="1" applyFill="1" applyBorder="1" applyAlignment="1">
      <alignment horizontal="center" vertical="center" wrapText="1"/>
    </xf>
    <xf numFmtId="0" fontId="36" fillId="2" borderId="0" xfId="0" applyFont="1" applyFill="1" applyBorder="1" applyAlignment="1"/>
    <xf numFmtId="0" fontId="36" fillId="2" borderId="0" xfId="0" applyFont="1" applyFill="1" applyBorder="1"/>
    <xf numFmtId="0" fontId="34" fillId="2" borderId="0" xfId="0" applyFont="1" applyFill="1" applyBorder="1"/>
    <xf numFmtId="0" fontId="42" fillId="2" borderId="0" xfId="0" applyFont="1" applyFill="1" applyAlignment="1">
      <alignment horizontal="left" vertical="center"/>
    </xf>
    <xf numFmtId="0" fontId="47" fillId="2" borderId="0" xfId="0" applyFont="1" applyFill="1" applyAlignment="1">
      <alignment horizontal="left" vertical="center" indent="6"/>
    </xf>
    <xf numFmtId="0" fontId="18" fillId="2" borderId="0" xfId="50" applyFill="1" applyAlignment="1">
      <alignment wrapText="1"/>
    </xf>
    <xf numFmtId="0" fontId="0" fillId="2" borderId="0" xfId="0" applyFill="1" applyAlignment="1">
      <alignment vertical="top" wrapText="1"/>
    </xf>
    <xf numFmtId="0" fontId="59" fillId="2" borderId="0" xfId="0" applyFont="1" applyFill="1" applyAlignment="1">
      <alignment horizontal="left" vertical="center" indent="6"/>
    </xf>
    <xf numFmtId="0" fontId="24" fillId="2" borderId="0" xfId="0" applyFont="1" applyFill="1"/>
    <xf numFmtId="0" fontId="30" fillId="2" borderId="18" xfId="0" applyFont="1" applyFill="1" applyBorder="1"/>
    <xf numFmtId="0" fontId="30" fillId="2" borderId="19" xfId="0" applyFont="1" applyFill="1" applyBorder="1"/>
    <xf numFmtId="0" fontId="30" fillId="2" borderId="20" xfId="0" applyFont="1" applyFill="1" applyBorder="1"/>
    <xf numFmtId="0" fontId="30" fillId="2" borderId="21" xfId="0" applyFont="1" applyFill="1" applyBorder="1"/>
    <xf numFmtId="0" fontId="30" fillId="2" borderId="22" xfId="0" applyFont="1" applyFill="1" applyBorder="1"/>
    <xf numFmtId="166" fontId="30" fillId="2" borderId="23" xfId="0" applyNumberFormat="1" applyFont="1" applyFill="1" applyBorder="1"/>
    <xf numFmtId="166" fontId="30" fillId="2" borderId="24" xfId="0" applyNumberFormat="1" applyFont="1" applyFill="1" applyBorder="1"/>
    <xf numFmtId="166" fontId="30" fillId="2" borderId="25" xfId="0" applyNumberFormat="1" applyFont="1" applyFill="1" applyBorder="1"/>
    <xf numFmtId="0" fontId="30" fillId="2" borderId="26" xfId="0" applyFont="1" applyFill="1" applyBorder="1"/>
    <xf numFmtId="166" fontId="30" fillId="2" borderId="27" xfId="0" applyNumberFormat="1" applyFont="1" applyFill="1" applyBorder="1"/>
    <xf numFmtId="166" fontId="30" fillId="2" borderId="0" xfId="0" applyNumberFormat="1" applyFont="1" applyFill="1" applyBorder="1"/>
    <xf numFmtId="166" fontId="30" fillId="2" borderId="28" xfId="0" applyNumberFormat="1" applyFont="1" applyFill="1" applyBorder="1"/>
    <xf numFmtId="166" fontId="30" fillId="2" borderId="45" xfId="0" applyNumberFormat="1" applyFont="1" applyFill="1" applyBorder="1"/>
    <xf numFmtId="166" fontId="30" fillId="2" borderId="46" xfId="0" applyNumberFormat="1" applyFont="1" applyFill="1" applyBorder="1"/>
    <xf numFmtId="166" fontId="30" fillId="2" borderId="47" xfId="0" applyNumberFormat="1" applyFont="1" applyFill="1" applyBorder="1"/>
    <xf numFmtId="0" fontId="18" fillId="2" borderId="41" xfId="50" applyFill="1" applyBorder="1"/>
    <xf numFmtId="166" fontId="18" fillId="2" borderId="41" xfId="50" applyNumberFormat="1" applyFill="1" applyBorder="1"/>
    <xf numFmtId="166" fontId="18" fillId="2" borderId="29" xfId="50" applyNumberFormat="1" applyFill="1" applyBorder="1"/>
    <xf numFmtId="166" fontId="18" fillId="2" borderId="24" xfId="50" applyNumberFormat="1" applyFill="1" applyBorder="1"/>
    <xf numFmtId="166" fontId="18" fillId="2" borderId="30" xfId="50" applyNumberFormat="1" applyFill="1" applyBorder="1"/>
    <xf numFmtId="0" fontId="18" fillId="2" borderId="48" xfId="50" applyFill="1" applyBorder="1"/>
    <xf numFmtId="166" fontId="18" fillId="2" borderId="48" xfId="50" applyNumberFormat="1" applyFill="1" applyBorder="1"/>
    <xf numFmtId="166" fontId="18" fillId="2" borderId="31" xfId="50" applyNumberFormat="1" applyFill="1" applyBorder="1"/>
    <xf numFmtId="166" fontId="18" fillId="2" borderId="32" xfId="50" applyNumberFormat="1" applyFill="1" applyBorder="1"/>
  </cellXfs>
  <cellStyles count="52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Entrée" xfId="10" builtinId="20" customBuiltin="1"/>
    <cellStyle name="Insatisfaisant" xfId="8" builtinId="27" customBuiltin="1"/>
    <cellStyle name="Milliers 2" xfId="1"/>
    <cellStyle name="Milliers 2 2" xfId="47"/>
    <cellStyle name="Milliers 3" xfId="43"/>
    <cellStyle name="Milliers 3 2" xfId="49"/>
    <cellStyle name="Neutre" xfId="9" builtinId="28" customBuiltin="1"/>
    <cellStyle name="Normal" xfId="0" builtinId="0"/>
    <cellStyle name="Normal 2" xfId="45"/>
    <cellStyle name="Normal 2 2" xfId="50"/>
    <cellStyle name="Normal 3" xfId="44"/>
    <cellStyle name="Note" xfId="16" builtinId="10" customBuiltin="1"/>
    <cellStyle name="Note 2" xfId="48"/>
    <cellStyle name="Pourcentage" xfId="51" builtinId="5"/>
    <cellStyle name="Pourcentage 2" xfId="46"/>
    <cellStyle name="Satisfaisant" xfId="7" builtinId="26" customBuiltin="1"/>
    <cellStyle name="Sortie" xfId="11" builtinId="21" customBuiltin="1"/>
    <cellStyle name="Texte explicatif" xfId="17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8" builtinId="25" customBuiltin="1"/>
    <cellStyle name="Vérification" xfId="14" builtinId="23" customBuiltin="1"/>
  </cellStyles>
  <dxfs count="9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0788782085898408E-2"/>
          <c:y val="5.0925925925925923E-2"/>
          <c:w val="0.88033035834094264"/>
          <c:h val="0.685419334603289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'Figure 2'!$B$6</c:f>
              <c:strCache>
                <c:ptCount val="1"/>
                <c:pt idx="0">
                  <c:v>Conjugal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2'!$C$5:$E$5</c:f>
              <c:strCache>
                <c:ptCount val="3"/>
                <c:pt idx="0">
                  <c:v>2021-2022</c:v>
                </c:pt>
                <c:pt idx="1">
                  <c:v>2022-2023</c:v>
                </c:pt>
                <c:pt idx="2">
                  <c:v>2023-2024</c:v>
                </c:pt>
              </c:strCache>
            </c:strRef>
          </c:cat>
          <c:val>
            <c:numRef>
              <c:f>'Figure 2'!$C$6:$E$6</c:f>
              <c:numCache>
                <c:formatCode>0</c:formatCode>
                <c:ptCount val="3"/>
                <c:pt idx="0">
                  <c:v>1.4030612244897958</c:v>
                </c:pt>
                <c:pt idx="1">
                  <c:v>1.9810267857142856</c:v>
                </c:pt>
                <c:pt idx="2">
                  <c:v>-0.84682440846824403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9-4956-94F7-32EC602870EB}"/>
            </c:ext>
          </c:extLst>
        </c:ser>
        <c:ser>
          <c:idx val="1"/>
          <c:order val="1"/>
          <c:tx>
            <c:strRef>
              <c:f>'Figure 2'!$B$7</c:f>
              <c:strCache>
                <c:ptCount val="1"/>
                <c:pt idx="0">
                  <c:v>Intrafamilial non conjugal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2'!$C$5:$E$5</c:f>
              <c:strCache>
                <c:ptCount val="3"/>
                <c:pt idx="0">
                  <c:v>2021-2022</c:v>
                </c:pt>
                <c:pt idx="1">
                  <c:v>2022-2023</c:v>
                </c:pt>
                <c:pt idx="2">
                  <c:v>2023-2024</c:v>
                </c:pt>
              </c:strCache>
            </c:strRef>
          </c:cat>
          <c:val>
            <c:numRef>
              <c:f>'Figure 2'!$C$7:$E$7</c:f>
              <c:numCache>
                <c:formatCode>0</c:formatCode>
                <c:ptCount val="3"/>
                <c:pt idx="0">
                  <c:v>0.15943877551020408</c:v>
                </c:pt>
                <c:pt idx="1">
                  <c:v>0.58593749999999989</c:v>
                </c:pt>
                <c:pt idx="2">
                  <c:v>0.17434620174346199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09-4956-94F7-32EC602870EB}"/>
            </c:ext>
          </c:extLst>
        </c:ser>
        <c:ser>
          <c:idx val="2"/>
          <c:order val="2"/>
          <c:tx>
            <c:strRef>
              <c:f>'Figure 2'!$B$8</c:f>
              <c:strCache>
                <c:ptCount val="1"/>
                <c:pt idx="0">
                  <c:v>Hors cadre famililal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'Figure 2'!$C$5:$E$5</c:f>
              <c:strCache>
                <c:ptCount val="3"/>
                <c:pt idx="0">
                  <c:v>2021-2022</c:v>
                </c:pt>
                <c:pt idx="1">
                  <c:v>2022-2023</c:v>
                </c:pt>
                <c:pt idx="2">
                  <c:v>2023-2024</c:v>
                </c:pt>
              </c:strCache>
            </c:strRef>
          </c:cat>
          <c:val>
            <c:numRef>
              <c:f>'Figure 2'!$C$8:$E$8</c:f>
              <c:numCache>
                <c:formatCode>0</c:formatCode>
                <c:ptCount val="3"/>
                <c:pt idx="0">
                  <c:v>12.723214285714285</c:v>
                </c:pt>
                <c:pt idx="1">
                  <c:v>9.4587053571428559</c:v>
                </c:pt>
                <c:pt idx="2">
                  <c:v>7.5217932752179317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09-4956-94F7-32EC60287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-1759074624"/>
        <c:axId val="-1759073536"/>
      </c:barChart>
      <c:lineChart>
        <c:grouping val="standard"/>
        <c:varyColors val="0"/>
        <c:ser>
          <c:idx val="3"/>
          <c:order val="3"/>
          <c:tx>
            <c:strRef>
              <c:f>'Figure 2'!$B$9</c:f>
              <c:strCache>
                <c:ptCount val="1"/>
                <c:pt idx="0">
                  <c:v>Ensemble 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bg1"/>
              </a:solidFill>
              <a:ln w="19050">
                <a:solidFill>
                  <a:schemeClr val="tx1"/>
                </a:solidFill>
              </a:ln>
              <a:effectLst/>
            </c:spPr>
          </c:marker>
          <c:cat>
            <c:strRef>
              <c:f>'Figure 2'!$C$5:$E$5</c:f>
              <c:strCache>
                <c:ptCount val="3"/>
                <c:pt idx="0">
                  <c:v>2021-2022</c:v>
                </c:pt>
                <c:pt idx="1">
                  <c:v>2022-2023</c:v>
                </c:pt>
                <c:pt idx="2">
                  <c:v>2023-2024</c:v>
                </c:pt>
              </c:strCache>
            </c:strRef>
          </c:cat>
          <c:val>
            <c:numRef>
              <c:f>'Figure 2'!$C$9:$E$9</c:f>
              <c:numCache>
                <c:formatCode>0</c:formatCode>
                <c:ptCount val="3"/>
                <c:pt idx="0">
                  <c:v>14.285714285714285</c:v>
                </c:pt>
                <c:pt idx="1">
                  <c:v>12.025669642857142</c:v>
                </c:pt>
                <c:pt idx="2">
                  <c:v>6.8493150684931505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09-4956-94F7-32EC60287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59074624"/>
        <c:axId val="-1759073536"/>
      </c:lineChart>
      <c:catAx>
        <c:axId val="-175907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759073536"/>
        <c:crosses val="autoZero"/>
        <c:auto val="1"/>
        <c:lblAlgn val="ctr"/>
        <c:lblOffset val="100"/>
        <c:noMultiLvlLbl val="0"/>
      </c:catAx>
      <c:valAx>
        <c:axId val="-175907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75907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6065930504433178E-2"/>
          <c:y val="0.80238217165519721"/>
          <c:w val="0.96786813899113366"/>
          <c:h val="0.197617828344802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67114408457149"/>
          <c:y val="4.6206370642452761E-2"/>
          <c:w val="0.80740309027035639"/>
          <c:h val="0.6997579997220266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'Figure 2'!$B$12</c:f>
              <c:strCache>
                <c:ptCount val="1"/>
                <c:pt idx="0">
                  <c:v>Conjugal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2'!$C$11:$E$11</c:f>
              <c:strCache>
                <c:ptCount val="3"/>
                <c:pt idx="0">
                  <c:v>2021-2022</c:v>
                </c:pt>
                <c:pt idx="1">
                  <c:v>2022-2023</c:v>
                </c:pt>
                <c:pt idx="2">
                  <c:v>2023-2024</c:v>
                </c:pt>
              </c:strCache>
            </c:strRef>
          </c:cat>
          <c:val>
            <c:numRef>
              <c:f>'Figure 2'!$C$12:$E$12</c:f>
              <c:numCache>
                <c:formatCode>0</c:formatCode>
                <c:ptCount val="3"/>
                <c:pt idx="0">
                  <c:v>6.3619291897586221</c:v>
                </c:pt>
                <c:pt idx="1">
                  <c:v>3.0779038999884958</c:v>
                </c:pt>
                <c:pt idx="2">
                  <c:v>5.6292740263044717E-3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C-45DD-BF02-19379A9C545F}"/>
            </c:ext>
          </c:extLst>
        </c:ser>
        <c:ser>
          <c:idx val="1"/>
          <c:order val="1"/>
          <c:tx>
            <c:strRef>
              <c:f>'Figure 2'!$B$13</c:f>
              <c:strCache>
                <c:ptCount val="1"/>
                <c:pt idx="0">
                  <c:v>Intrafamilial non conjugal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2'!$C$11:$E$11</c:f>
              <c:strCache>
                <c:ptCount val="3"/>
                <c:pt idx="0">
                  <c:v>2021-2022</c:v>
                </c:pt>
                <c:pt idx="1">
                  <c:v>2022-2023</c:v>
                </c:pt>
                <c:pt idx="2">
                  <c:v>2023-2024</c:v>
                </c:pt>
              </c:strCache>
            </c:strRef>
          </c:cat>
          <c:val>
            <c:numRef>
              <c:f>'Figure 2'!$C$13:$E$13</c:f>
              <c:numCache>
                <c:formatCode>0</c:formatCode>
                <c:ptCount val="3"/>
                <c:pt idx="0">
                  <c:v>1.4726762779494611</c:v>
                </c:pt>
                <c:pt idx="1">
                  <c:v>2.0485005943935271</c:v>
                </c:pt>
                <c:pt idx="2">
                  <c:v>1.3789469654835431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5C-45DD-BF02-19379A9C545F}"/>
            </c:ext>
          </c:extLst>
        </c:ser>
        <c:ser>
          <c:idx val="2"/>
          <c:order val="2"/>
          <c:tx>
            <c:strRef>
              <c:f>'Figure 2'!$B$14</c:f>
              <c:strCache>
                <c:ptCount val="1"/>
                <c:pt idx="0">
                  <c:v>Hors cadre famililal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'Figure 2'!$C$11:$E$11</c:f>
              <c:strCache>
                <c:ptCount val="3"/>
                <c:pt idx="0">
                  <c:v>2021-2022</c:v>
                </c:pt>
                <c:pt idx="1">
                  <c:v>2022-2023</c:v>
                </c:pt>
                <c:pt idx="2">
                  <c:v>2023-2024</c:v>
                </c:pt>
              </c:strCache>
            </c:strRef>
          </c:cat>
          <c:val>
            <c:numRef>
              <c:f>'Figure 2'!$C$14:$E$14</c:f>
              <c:numCache>
                <c:formatCode>0</c:formatCode>
                <c:ptCount val="3"/>
                <c:pt idx="0">
                  <c:v>4.5780671999482694</c:v>
                </c:pt>
                <c:pt idx="1">
                  <c:v>1.3148560033746215</c:v>
                </c:pt>
                <c:pt idx="2">
                  <c:v>-9.8399709979802172E-2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5C-45DD-BF02-19379A9C5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-1759081696"/>
        <c:axId val="-1759080608"/>
      </c:barChart>
      <c:lineChart>
        <c:grouping val="standard"/>
        <c:varyColors val="0"/>
        <c:ser>
          <c:idx val="3"/>
          <c:order val="3"/>
          <c:tx>
            <c:strRef>
              <c:f>'Figure 2'!$B$15</c:f>
              <c:strCache>
                <c:ptCount val="1"/>
                <c:pt idx="0">
                  <c:v>Ensemble 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bg1"/>
              </a:solidFill>
              <a:ln w="19050">
                <a:solidFill>
                  <a:schemeClr val="tx1"/>
                </a:solidFill>
              </a:ln>
              <a:effectLst/>
            </c:spPr>
          </c:marker>
          <c:cat>
            <c:strRef>
              <c:f>'Figure 2'!$C$11:$D$11</c:f>
              <c:strCache>
                <c:ptCount val="2"/>
                <c:pt idx="0">
                  <c:v>2021-2022</c:v>
                </c:pt>
                <c:pt idx="1">
                  <c:v>2022-2023</c:v>
                </c:pt>
              </c:strCache>
            </c:strRef>
          </c:cat>
          <c:val>
            <c:numRef>
              <c:f>'Figure 2'!$C$15:$E$15</c:f>
              <c:numCache>
                <c:formatCode>0</c:formatCode>
                <c:ptCount val="3"/>
                <c:pt idx="0">
                  <c:v>12.412672667656354</c:v>
                </c:pt>
                <c:pt idx="1">
                  <c:v>6.4412604977566446</c:v>
                </c:pt>
                <c:pt idx="2">
                  <c:v>1.2861765295300456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5C-45DD-BF02-19379A9C5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59081696"/>
        <c:axId val="-1759080608"/>
      </c:lineChart>
      <c:catAx>
        <c:axId val="-175908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759080608"/>
        <c:crosses val="autoZero"/>
        <c:auto val="1"/>
        <c:lblAlgn val="ctr"/>
        <c:lblOffset val="100"/>
        <c:noMultiLvlLbl val="0"/>
      </c:catAx>
      <c:valAx>
        <c:axId val="-175908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75908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4619018776499085E-2"/>
          <c:y val="0.81672120839598261"/>
          <c:w val="0.97759956928460867"/>
          <c:h val="0.18327879160401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572167224178631E-2"/>
          <c:y val="4.6296296296296294E-2"/>
          <c:w val="0.85990292943932123"/>
          <c:h val="0.6616414694530391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'Figure 2'!$B$18</c:f>
              <c:strCache>
                <c:ptCount val="1"/>
                <c:pt idx="0">
                  <c:v>Conjugal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2'!$C$17:$E$17</c:f>
              <c:strCache>
                <c:ptCount val="3"/>
                <c:pt idx="0">
                  <c:v>2021-2022</c:v>
                </c:pt>
                <c:pt idx="1">
                  <c:v>2022-2023</c:v>
                </c:pt>
                <c:pt idx="2">
                  <c:v>2023-2024</c:v>
                </c:pt>
              </c:strCache>
            </c:strRef>
          </c:cat>
          <c:val>
            <c:numRef>
              <c:f>'Figure 2'!$C$18:$E$18</c:f>
              <c:numCache>
                <c:formatCode>0</c:formatCode>
                <c:ptCount val="3"/>
                <c:pt idx="0">
                  <c:v>1.9795405971821634</c:v>
                </c:pt>
                <c:pt idx="1">
                  <c:v>1.5049852045912886</c:v>
                </c:pt>
                <c:pt idx="2">
                  <c:v>1.4717870949079148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4-4497-8B71-51A40EB29A2E}"/>
            </c:ext>
          </c:extLst>
        </c:ser>
        <c:ser>
          <c:idx val="1"/>
          <c:order val="1"/>
          <c:tx>
            <c:strRef>
              <c:f>'Figure 2'!$B$19</c:f>
              <c:strCache>
                <c:ptCount val="1"/>
                <c:pt idx="0">
                  <c:v>Intrafamilial non conjugal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2'!$C$17:$E$17</c:f>
              <c:strCache>
                <c:ptCount val="3"/>
                <c:pt idx="0">
                  <c:v>2021-2022</c:v>
                </c:pt>
                <c:pt idx="1">
                  <c:v>2022-2023</c:v>
                </c:pt>
                <c:pt idx="2">
                  <c:v>2023-2024</c:v>
                </c:pt>
              </c:strCache>
            </c:strRef>
          </c:cat>
          <c:val>
            <c:numRef>
              <c:f>'Figure 2'!$C$19:$E$19</c:f>
              <c:numCache>
                <c:formatCode>0</c:formatCode>
                <c:ptCount val="3"/>
                <c:pt idx="0">
                  <c:v>0.47309775278567429</c:v>
                </c:pt>
                <c:pt idx="1">
                  <c:v>1.4013231053395403</c:v>
                </c:pt>
                <c:pt idx="2">
                  <c:v>0.97213334618992109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C4-4497-8B71-51A40EB29A2E}"/>
            </c:ext>
          </c:extLst>
        </c:ser>
        <c:ser>
          <c:idx val="2"/>
          <c:order val="2"/>
          <c:tx>
            <c:strRef>
              <c:f>'Figure 2'!$B$20</c:f>
              <c:strCache>
                <c:ptCount val="1"/>
                <c:pt idx="0">
                  <c:v>Hors cadre famililal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'Figure 2'!$C$17:$E$17</c:f>
              <c:strCache>
                <c:ptCount val="3"/>
                <c:pt idx="0">
                  <c:v>2021-2022</c:v>
                </c:pt>
                <c:pt idx="1">
                  <c:v>2022-2023</c:v>
                </c:pt>
                <c:pt idx="2">
                  <c:v>2023-2024</c:v>
                </c:pt>
              </c:strCache>
            </c:strRef>
          </c:cat>
          <c:val>
            <c:numRef>
              <c:f>'Figure 2'!$C$20:$E$20</c:f>
              <c:numCache>
                <c:formatCode>0</c:formatCode>
                <c:ptCount val="3"/>
                <c:pt idx="0">
                  <c:v>7.6401137094598806</c:v>
                </c:pt>
                <c:pt idx="1">
                  <c:v>4.5997700586162056</c:v>
                </c:pt>
                <c:pt idx="2">
                  <c:v>4.8887174677197383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C4-4497-8B71-51A40EB29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-1759086592"/>
        <c:axId val="-1759076256"/>
      </c:barChart>
      <c:lineChart>
        <c:grouping val="standard"/>
        <c:varyColors val="0"/>
        <c:ser>
          <c:idx val="3"/>
          <c:order val="3"/>
          <c:tx>
            <c:strRef>
              <c:f>'Figure 2'!$B$21</c:f>
              <c:strCache>
                <c:ptCount val="1"/>
                <c:pt idx="0">
                  <c:v>Ensemble 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bg1"/>
              </a:solidFill>
              <a:ln w="19050">
                <a:solidFill>
                  <a:schemeClr val="tx1"/>
                </a:solidFill>
              </a:ln>
              <a:effectLst/>
            </c:spPr>
          </c:marker>
          <c:cat>
            <c:strRef>
              <c:f>'Figure 2'!$C$17:$E$17</c:f>
              <c:strCache>
                <c:ptCount val="3"/>
                <c:pt idx="0">
                  <c:v>2021-2022</c:v>
                </c:pt>
                <c:pt idx="1">
                  <c:v>2022-2023</c:v>
                </c:pt>
                <c:pt idx="2">
                  <c:v>2023-2024</c:v>
                </c:pt>
              </c:strCache>
            </c:strRef>
          </c:cat>
          <c:val>
            <c:numRef>
              <c:f>'Figure 2'!$C$21:$E$21</c:f>
              <c:numCache>
                <c:formatCode>0</c:formatCode>
                <c:ptCount val="3"/>
                <c:pt idx="0">
                  <c:v>10.092752059427717</c:v>
                </c:pt>
                <c:pt idx="1">
                  <c:v>7.5060783685470343</c:v>
                </c:pt>
                <c:pt idx="2">
                  <c:v>7.3326379088175742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C4-4497-8B71-51A40EB29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59086592"/>
        <c:axId val="-1759076256"/>
      </c:lineChart>
      <c:catAx>
        <c:axId val="-175908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759076256"/>
        <c:crosses val="autoZero"/>
        <c:auto val="1"/>
        <c:lblAlgn val="ctr"/>
        <c:lblOffset val="100"/>
        <c:noMultiLvlLbl val="0"/>
      </c:catAx>
      <c:valAx>
        <c:axId val="-175907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75908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0710177167095398"/>
          <c:w val="0.98623421850784687"/>
          <c:h val="0.192898228329046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'Figure 3'!$B$44</c:f>
              <c:strCache>
                <c:ptCount val="1"/>
                <c:pt idx="0">
                  <c:v>Moins d'un mois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'[1]Figure 3'!$C$42:$K$42</c:f>
              <c:strCach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strCache>
            </c:strRef>
          </c:cat>
          <c:val>
            <c:numRef>
              <c:f>'Figure 3'!$C$44:$K$44</c:f>
              <c:numCache>
                <c:formatCode>0\ %</c:formatCode>
                <c:ptCount val="9"/>
                <c:pt idx="0">
                  <c:v>0.43834877583649601</c:v>
                </c:pt>
                <c:pt idx="1">
                  <c:v>0.44385383225444303</c:v>
                </c:pt>
                <c:pt idx="2">
                  <c:v>0.43794462888309199</c:v>
                </c:pt>
                <c:pt idx="3">
                  <c:v>0.419565101954121</c:v>
                </c:pt>
                <c:pt idx="4">
                  <c:v>0.39233872536937803</c:v>
                </c:pt>
                <c:pt idx="5">
                  <c:v>0.36031540177413501</c:v>
                </c:pt>
                <c:pt idx="6">
                  <c:v>0.363844544546431</c:v>
                </c:pt>
                <c:pt idx="7">
                  <c:v>0.34773271154200203</c:v>
                </c:pt>
                <c:pt idx="8">
                  <c:v>0.34461468099702702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51-4395-A8AD-CF59C0B9A3C2}"/>
            </c:ext>
          </c:extLst>
        </c:ser>
        <c:ser>
          <c:idx val="7"/>
          <c:order val="1"/>
          <c:tx>
            <c:strRef>
              <c:f>'Figure 3'!$B$51</c:f>
              <c:strCache>
                <c:ptCount val="1"/>
                <c:pt idx="0">
                  <c:v>Moins de 3 mois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ysDash"/>
              </a:ln>
              <a:effectLst/>
            </c:spPr>
          </c:marker>
          <c:cat>
            <c:strRef>
              <c:f>'[1]Figure 3'!$C$42:$K$42</c:f>
              <c:strCach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strCache>
            </c:strRef>
          </c:cat>
          <c:val>
            <c:numRef>
              <c:f>'Figure 3'!$C$51:$K$51</c:f>
              <c:numCache>
                <c:formatCode>0\ %</c:formatCode>
                <c:ptCount val="9"/>
                <c:pt idx="0">
                  <c:v>0.53782289599907573</c:v>
                </c:pt>
                <c:pt idx="1">
                  <c:v>0.54148027296808976</c:v>
                </c:pt>
                <c:pt idx="2">
                  <c:v>0.53161311358785834</c:v>
                </c:pt>
                <c:pt idx="3">
                  <c:v>0.51367353440951613</c:v>
                </c:pt>
                <c:pt idx="4">
                  <c:v>0.48021118447508704</c:v>
                </c:pt>
                <c:pt idx="5">
                  <c:v>0.4493230274420294</c:v>
                </c:pt>
                <c:pt idx="6">
                  <c:v>0.45210811014569219</c:v>
                </c:pt>
                <c:pt idx="7">
                  <c:v>0.43632921045941891</c:v>
                </c:pt>
                <c:pt idx="8">
                  <c:v>0.43272843095619201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51-4395-A8AD-CF59C0B9A3C2}"/>
            </c:ext>
          </c:extLst>
        </c:ser>
        <c:ser>
          <c:idx val="8"/>
          <c:order val="2"/>
          <c:tx>
            <c:strRef>
              <c:f>'Figure 3'!$B$52</c:f>
              <c:strCache>
                <c:ptCount val="1"/>
                <c:pt idx="0">
                  <c:v>Plus d'un 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ysDash"/>
              </a:ln>
              <a:effectLst/>
            </c:spPr>
          </c:marker>
          <c:cat>
            <c:strRef>
              <c:f>'[1]Figure 3'!$C$42:$K$42</c:f>
              <c:strCach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strCache>
            </c:strRef>
          </c:cat>
          <c:val>
            <c:numRef>
              <c:f>'Figure 3'!$C$52:$K$52</c:f>
              <c:numCache>
                <c:formatCode>0\ %</c:formatCode>
                <c:ptCount val="9"/>
                <c:pt idx="0">
                  <c:v>0.2891183325949182</c:v>
                </c:pt>
                <c:pt idx="1">
                  <c:v>0.29466870164728143</c:v>
                </c:pt>
                <c:pt idx="2">
                  <c:v>0.29870168366137101</c:v>
                </c:pt>
                <c:pt idx="3">
                  <c:v>0.31887213254035601</c:v>
                </c:pt>
                <c:pt idx="4">
                  <c:v>0.35468095318398196</c:v>
                </c:pt>
                <c:pt idx="5">
                  <c:v>0.3901748197333611</c:v>
                </c:pt>
                <c:pt idx="6">
                  <c:v>0.38593399551425778</c:v>
                </c:pt>
                <c:pt idx="7">
                  <c:v>0.39498943714443502</c:v>
                </c:pt>
                <c:pt idx="8">
                  <c:v>0.401628499558983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51-4395-A8AD-CF59C0B9A3C2}"/>
            </c:ext>
          </c:extLst>
        </c:ser>
        <c:ser>
          <c:idx val="6"/>
          <c:order val="3"/>
          <c:tx>
            <c:strRef>
              <c:f>'[1]Figure 3'!$B$49</c:f>
              <c:strCache>
                <c:ptCount val="1"/>
                <c:pt idx="0">
                  <c:v>Plus de 5 ans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ysDash"/>
              </a:ln>
              <a:effectLst/>
            </c:spPr>
          </c:marker>
          <c:cat>
            <c:strRef>
              <c:f>'[1]Figure 3'!$C$42:$K$42</c:f>
              <c:strCach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strCache>
            </c:strRef>
          </c:cat>
          <c:val>
            <c:numRef>
              <c:f>'Figure 3'!$C$50:$K$50</c:f>
              <c:numCache>
                <c:formatCode>0\ %</c:formatCode>
                <c:ptCount val="9"/>
                <c:pt idx="0">
                  <c:v>9.4735422726484705E-2</c:v>
                </c:pt>
                <c:pt idx="1">
                  <c:v>0.104310299457923</c:v>
                </c:pt>
                <c:pt idx="2">
                  <c:v>0.103613350723263</c:v>
                </c:pt>
                <c:pt idx="3">
                  <c:v>0.118096856414613</c:v>
                </c:pt>
                <c:pt idx="4">
                  <c:v>0.13743854505830899</c:v>
                </c:pt>
                <c:pt idx="5">
                  <c:v>0.167806193909841</c:v>
                </c:pt>
                <c:pt idx="6">
                  <c:v>0.16776297189814701</c:v>
                </c:pt>
                <c:pt idx="7">
                  <c:v>0.17074132837770301</c:v>
                </c:pt>
                <c:pt idx="8">
                  <c:v>0.172340008493679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51-4395-A8AD-CF59C0B9A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6721888"/>
        <c:axId val="-2031033792"/>
      </c:lineChart>
      <c:catAx>
        <c:axId val="-196672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2031033792"/>
        <c:crosses val="autoZero"/>
        <c:auto val="1"/>
        <c:lblAlgn val="ctr"/>
        <c:lblOffset val="100"/>
        <c:noMultiLvlLbl val="0"/>
      </c:catAx>
      <c:valAx>
        <c:axId val="-203103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96672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6821505098747902"/>
          <c:y val="3.5581904220237978E-2"/>
          <c:w val="0.25969695465242132"/>
          <c:h val="0.898596709467681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'[2]Figure 17'!$C$4</c:f>
              <c:strCache>
                <c:ptCount val="1"/>
                <c:pt idx="0">
                  <c:v>Femmes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21-4F87-B57F-6F6C78244F0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021-4F87-B57F-6F6C78244F0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021-4F87-B57F-6F6C78244F0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021-4F87-B57F-6F6C78244F0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021-4F87-B57F-6F6C78244F0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021-4F87-B57F-6F6C78244F0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021-4F87-B57F-6F6C78244F0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021-4F87-B57F-6F6C78244F0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021-4F87-B57F-6F6C78244F0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021-4F87-B57F-6F6C78244F09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021-4F87-B57F-6F6C78244F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4'!$B$5:$B$19</c:f>
              <c:strCache>
                <c:ptCount val="15"/>
                <c:pt idx="0">
                  <c:v>Escroqueries et fraudes aux moyens de paiement</c:v>
                </c:pt>
                <c:pt idx="1">
                  <c:v>Destructions et dégradations volontaires</c:v>
                </c:pt>
                <c:pt idx="2">
                  <c:v>Vols d’accessoires sur les véhicules</c:v>
                </c:pt>
                <c:pt idx="3">
                  <c:v>Vols dans les véhicules</c:v>
                </c:pt>
                <c:pt idx="4">
                  <c:v>Vols de véhicule</c:v>
                </c:pt>
                <c:pt idx="5">
                  <c:v>Cambriolages de logement</c:v>
                </c:pt>
                <c:pt idx="6">
                  <c:v>Vols sans violence contre des personnes</c:v>
                </c:pt>
                <c:pt idx="7">
                  <c:v>Vols violents sans arme</c:v>
                </c:pt>
                <c:pt idx="8">
                  <c:v>Vols avec armes</c:v>
                </c:pt>
                <c:pt idx="9">
                  <c:v>  dont viols et tentatives de viol</c:v>
                </c:pt>
                <c:pt idx="10">
                  <c:v>Violences sexuelles </c:v>
                </c:pt>
                <c:pt idx="11">
                  <c:v>Violences physiques hors cadre familial</c:v>
                </c:pt>
                <c:pt idx="12">
                  <c:v>Violences physiques intrafamiliales </c:v>
                </c:pt>
                <c:pt idx="13">
                  <c:v>Tentatives d'homicide</c:v>
                </c:pt>
                <c:pt idx="14">
                  <c:v>Homicides</c:v>
                </c:pt>
              </c:strCache>
            </c:strRef>
          </c:cat>
          <c:val>
            <c:numRef>
              <c:f>'Figure 4'!$C$5:$C$19</c:f>
              <c:numCache>
                <c:formatCode>0</c:formatCode>
                <c:ptCount val="15"/>
                <c:pt idx="0">
                  <c:v>49.882642021491179</c:v>
                </c:pt>
                <c:pt idx="1">
                  <c:v>46.352942386725445</c:v>
                </c:pt>
                <c:pt idx="2">
                  <c:v>40.142733502646102</c:v>
                </c:pt>
                <c:pt idx="3">
                  <c:v>34.848787328421942</c:v>
                </c:pt>
                <c:pt idx="4">
                  <c:v>27.372096814324813</c:v>
                </c:pt>
                <c:pt idx="5">
                  <c:v>47.063758771789836</c:v>
                </c:pt>
                <c:pt idx="6">
                  <c:v>48.004586766329737</c:v>
                </c:pt>
                <c:pt idx="7">
                  <c:v>39.255810068697663</c:v>
                </c:pt>
                <c:pt idx="8">
                  <c:v>24.3018289343993</c:v>
                </c:pt>
                <c:pt idx="9">
                  <c:v>88.662746544578724</c:v>
                </c:pt>
                <c:pt idx="10">
                  <c:v>85.282251478226783</c:v>
                </c:pt>
                <c:pt idx="11">
                  <c:v>31.10012216549287</c:v>
                </c:pt>
                <c:pt idx="12">
                  <c:v>73.752660009821582</c:v>
                </c:pt>
                <c:pt idx="13">
                  <c:v>20.675990675990676</c:v>
                </c:pt>
                <c:pt idx="14">
                  <c:v>27.254098360655739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021-4F87-B57F-6F6C78244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00227272"/>
        <c:axId val="500227600"/>
      </c:barChart>
      <c:catAx>
        <c:axId val="500227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0227600"/>
        <c:crosses val="autoZero"/>
        <c:auto val="1"/>
        <c:lblAlgn val="ctr"/>
        <c:lblOffset val="100"/>
        <c:noMultiLvlLbl val="0"/>
      </c:catAx>
      <c:valAx>
        <c:axId val="50022760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0227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52521306166212"/>
          <c:y val="3.1682994593597698E-2"/>
          <c:w val="0.63297823596792679"/>
          <c:h val="0.902220821396610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7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811396825280258"/>
                      <c:h val="4.12191215193937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4043-4AD3-AD38-2EA29D43F496}"/>
                </c:ext>
              </c:extLst>
            </c:dLbl>
            <c:dLbl>
              <c:idx val="8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31391758066234"/>
                      <c:h val="4.12191215193937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043-4AD3-AD38-2EA29D43F496}"/>
                </c:ext>
              </c:extLst>
            </c:dLbl>
            <c:dLbl>
              <c:idx val="9"/>
              <c:layout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4043-4AD3-AD38-2EA29D43F496}"/>
                </c:ext>
              </c:extLst>
            </c:dLbl>
            <c:dLbl>
              <c:idx val="10"/>
              <c:layout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4043-4AD3-AD38-2EA29D43F496}"/>
                </c:ext>
              </c:extLst>
            </c:dLbl>
            <c:dLbl>
              <c:idx val="11"/>
              <c:layout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4043-4AD3-AD38-2EA29D43F4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'Figure 4'!$F$5:$F$19</c:f>
              <c:numCache>
                <c:formatCode>0</c:formatCode>
                <c:ptCount val="15"/>
                <c:pt idx="0">
                  <c:v>0.68188129030906008</c:v>
                </c:pt>
                <c:pt idx="1">
                  <c:v>0.54419109440018099</c:v>
                </c:pt>
                <c:pt idx="2">
                  <c:v>0.25396915480767868</c:v>
                </c:pt>
                <c:pt idx="3">
                  <c:v>0.28289989433859369</c:v>
                </c:pt>
                <c:pt idx="4">
                  <c:v>1.4714335967328167</c:v>
                </c:pt>
                <c:pt idx="5">
                  <c:v>0.11855310495141602</c:v>
                </c:pt>
                <c:pt idx="6">
                  <c:v>3.2268750530875732</c:v>
                </c:pt>
                <c:pt idx="7">
                  <c:v>10.872606544027061</c:v>
                </c:pt>
                <c:pt idx="8">
                  <c:v>13.043478260869565</c:v>
                </c:pt>
                <c:pt idx="9">
                  <c:v>34.725627617332435</c:v>
                </c:pt>
                <c:pt idx="10">
                  <c:v>39.335532978341121</c:v>
                </c:pt>
                <c:pt idx="11">
                  <c:v>20.165580480777187</c:v>
                </c:pt>
                <c:pt idx="12">
                  <c:v>11.068096251432314</c:v>
                </c:pt>
                <c:pt idx="13">
                  <c:v>7.6456876456876461</c:v>
                </c:pt>
                <c:pt idx="14">
                  <c:v>4.3032786885245899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43-4AD3-AD38-2EA29D43F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19666000"/>
        <c:axId val="619666328"/>
      </c:barChart>
      <c:catAx>
        <c:axId val="619666000"/>
        <c:scaling>
          <c:orientation val="minMax"/>
        </c:scaling>
        <c:delete val="1"/>
        <c:axPos val="l"/>
        <c:majorTickMark val="none"/>
        <c:minorTickMark val="none"/>
        <c:tickLblPos val="nextTo"/>
        <c:crossAx val="619666328"/>
        <c:crosses val="autoZero"/>
        <c:auto val="1"/>
        <c:lblAlgn val="ctr"/>
        <c:lblOffset val="100"/>
        <c:noMultiLvlLbl val="0"/>
      </c:catAx>
      <c:valAx>
        <c:axId val="619666328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9666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018727128538807"/>
          <c:y val="3.2154104009895268E-2"/>
          <c:w val="0.60836223617202201"/>
          <c:h val="0.9000350311712977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D58-479D-AE98-D4665389FE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'Figure 4'!$G$5:$G$19</c:f>
              <c:numCache>
                <c:formatCode>0</c:formatCode>
                <c:ptCount val="15"/>
                <c:pt idx="0">
                  <c:v>20.857237162661303</c:v>
                </c:pt>
                <c:pt idx="1">
                  <c:v>18.271035969076781</c:v>
                </c:pt>
                <c:pt idx="2">
                  <c:v>22.765000496587735</c:v>
                </c:pt>
                <c:pt idx="3">
                  <c:v>27.345366722986959</c:v>
                </c:pt>
                <c:pt idx="4">
                  <c:v>23.351608281211121</c:v>
                </c:pt>
                <c:pt idx="5">
                  <c:v>9.9342942214480807</c:v>
                </c:pt>
                <c:pt idx="6">
                  <c:v>26.353860528327527</c:v>
                </c:pt>
                <c:pt idx="7">
                  <c:v>33.563717608736503</c:v>
                </c:pt>
                <c:pt idx="8">
                  <c:v>37.936699156718866</c:v>
                </c:pt>
                <c:pt idx="9">
                  <c:v>27.986200013018859</c:v>
                </c:pt>
                <c:pt idx="10">
                  <c:v>23.228577962170462</c:v>
                </c:pt>
                <c:pt idx="11">
                  <c:v>27.349495519787403</c:v>
                </c:pt>
                <c:pt idx="12">
                  <c:v>24.142249140612211</c:v>
                </c:pt>
                <c:pt idx="13">
                  <c:v>37.995337995337998</c:v>
                </c:pt>
                <c:pt idx="14">
                  <c:v>25.409836065573771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58-479D-AE98-D4665389F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19703392"/>
        <c:axId val="619705360"/>
      </c:barChart>
      <c:catAx>
        <c:axId val="6197033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19705360"/>
        <c:crosses val="autoZero"/>
        <c:auto val="1"/>
        <c:lblAlgn val="ctr"/>
        <c:lblOffset val="100"/>
        <c:noMultiLvlLbl val="0"/>
      </c:catAx>
      <c:valAx>
        <c:axId val="619705360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9703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286684125983236"/>
          <c:y val="3.2246500839170751E-2"/>
          <c:w val="0.58761155628788542"/>
          <c:h val="0.9085422758089151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2C-4BA4-AC12-438F5023162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2C-4BA4-AC12-438F502316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'Figure 4'!$H$5:$H$19</c:f>
              <c:numCache>
                <c:formatCode>0</c:formatCode>
                <c:ptCount val="15"/>
                <c:pt idx="0">
                  <c:v>23.688498394186588</c:v>
                </c:pt>
                <c:pt idx="1">
                  <c:v>30.740110175550495</c:v>
                </c:pt>
                <c:pt idx="2">
                  <c:v>30.635206651437976</c:v>
                </c:pt>
                <c:pt idx="3">
                  <c:v>33.660705155984481</c:v>
                </c:pt>
                <c:pt idx="4">
                  <c:v>33.633625904095133</c:v>
                </c:pt>
                <c:pt idx="5">
                  <c:v>21.781853167419783</c:v>
                </c:pt>
                <c:pt idx="6">
                  <c:v>27.162150683767944</c:v>
                </c:pt>
                <c:pt idx="7">
                  <c:v>25.257355244200369</c:v>
                </c:pt>
                <c:pt idx="8">
                  <c:v>26.196473551637279</c:v>
                </c:pt>
                <c:pt idx="9">
                  <c:v>14.051684856901078</c:v>
                </c:pt>
                <c:pt idx="10">
                  <c:v>11.828264349416877</c:v>
                </c:pt>
                <c:pt idx="11">
                  <c:v>27.440024530441598</c:v>
                </c:pt>
                <c:pt idx="12">
                  <c:v>33.463742019970532</c:v>
                </c:pt>
                <c:pt idx="13">
                  <c:v>32.93706293706294</c:v>
                </c:pt>
                <c:pt idx="14">
                  <c:v>24.692622950819672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2C-4BA4-AC12-438F50231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30002808"/>
        <c:axId val="629998872"/>
      </c:barChart>
      <c:catAx>
        <c:axId val="6300028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29998872"/>
        <c:crosses val="autoZero"/>
        <c:auto val="1"/>
        <c:lblAlgn val="ctr"/>
        <c:lblOffset val="100"/>
        <c:noMultiLvlLbl val="0"/>
      </c:catAx>
      <c:valAx>
        <c:axId val="629998872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0002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68148148148144"/>
          <c:y val="3.261674553521815E-2"/>
          <c:w val="0.66086296296296299"/>
          <c:h val="0.9102721978678132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FC8-4315-8F4B-F5151F823CA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C8-4315-8F4B-F5151F823CA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FC8-4315-8F4B-F5151F823CA6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FC8-4315-8F4B-F5151F823CA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FC8-4315-8F4B-F5151F823CA6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FC8-4315-8F4B-F5151F823CA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FC8-4315-8F4B-F5151F823CA6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FC8-4315-8F4B-F5151F823C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'Figure 4'!$I$5:$I$19</c:f>
              <c:numCache>
                <c:formatCode>0</c:formatCode>
                <c:ptCount val="15"/>
                <c:pt idx="0">
                  <c:v>22.704053565534476</c:v>
                </c:pt>
                <c:pt idx="1">
                  <c:v>27.884392825730259</c:v>
                </c:pt>
                <c:pt idx="2">
                  <c:v>27.909649409060599</c:v>
                </c:pt>
                <c:pt idx="3">
                  <c:v>24.512959347139109</c:v>
                </c:pt>
                <c:pt idx="4">
                  <c:v>25.572057347301229</c:v>
                </c:pt>
                <c:pt idx="5">
                  <c:v>25.136906037544854</c:v>
                </c:pt>
                <c:pt idx="6">
                  <c:v>21.000934341289391</c:v>
                </c:pt>
                <c:pt idx="7">
                  <c:v>15.069637301371866</c:v>
                </c:pt>
                <c:pt idx="8">
                  <c:v>14.565764976453838</c:v>
                </c:pt>
                <c:pt idx="9">
                  <c:v>4.8321652526742902</c:v>
                </c:pt>
                <c:pt idx="10">
                  <c:v>5.0847734474535295</c:v>
                </c:pt>
                <c:pt idx="11">
                  <c:v>16.9031290914489</c:v>
                </c:pt>
                <c:pt idx="12">
                  <c:v>13.688819774103781</c:v>
                </c:pt>
                <c:pt idx="13">
                  <c:v>14.615384615384617</c:v>
                </c:pt>
                <c:pt idx="14">
                  <c:v>18.442622950819672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FC8-4315-8F4B-F5151F823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19631560"/>
        <c:axId val="619635496"/>
      </c:barChart>
      <c:catAx>
        <c:axId val="6196315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19635496"/>
        <c:crosses val="autoZero"/>
        <c:auto val="1"/>
        <c:lblAlgn val="ctr"/>
        <c:lblOffset val="100"/>
        <c:noMultiLvlLbl val="0"/>
      </c:catAx>
      <c:valAx>
        <c:axId val="619635496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9631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408450704225354E-2"/>
          <c:y val="3.3008244263842905E-2"/>
          <c:w val="0.91876056338028167"/>
          <c:h val="0.9101814042842214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49292735627069"/>
                      <c:h val="7.541698405724382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CD4F-4111-9373-B14823516A9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D4F-4111-9373-B14823516A9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4F-4111-9373-B14823516A9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D4F-4111-9373-B14823516A9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4F-4111-9373-B14823516A90}"/>
                </c:ext>
              </c:extLst>
            </c:dLbl>
            <c:dLbl>
              <c:idx val="5"/>
              <c:layout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165845757165052"/>
                      <c:h val="7.541698405724382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CD4F-4111-9373-B14823516A9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D4F-4111-9373-B14823516A9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D4F-4111-9373-B14823516A9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D4F-4111-9373-B14823516A9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D4F-4111-9373-B14823516A9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D4F-4111-9373-B14823516A9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D4F-4111-9373-B14823516A9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D4F-4111-9373-B14823516A9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D4F-4111-9373-B14823516A9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D4F-4111-9373-B14823516A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'Figure 4'!$J$5:$J$19</c:f>
              <c:numCache>
                <c:formatCode>0</c:formatCode>
                <c:ptCount val="15"/>
                <c:pt idx="0">
                  <c:v>31.98843185640413</c:v>
                </c:pt>
                <c:pt idx="1">
                  <c:v>22.477972605276285</c:v>
                </c:pt>
                <c:pt idx="2">
                  <c:v>18.368070827598928</c:v>
                </c:pt>
                <c:pt idx="3">
                  <c:v>14.097763581386063</c:v>
                </c:pt>
                <c:pt idx="4">
                  <c:v>15.899204653676868</c:v>
                </c:pt>
                <c:pt idx="5">
                  <c:v>42.970940810082489</c:v>
                </c:pt>
                <c:pt idx="6">
                  <c:v>22.115008918712309</c:v>
                </c:pt>
                <c:pt idx="7">
                  <c:v>15.021611576287821</c:v>
                </c:pt>
                <c:pt idx="8">
                  <c:v>8.0166465885445177</c:v>
                </c:pt>
                <c:pt idx="9">
                  <c:v>1.3431119404604335</c:v>
                </c:pt>
                <c:pt idx="10">
                  <c:v>1.8302244291267846</c:v>
                </c:pt>
                <c:pt idx="11">
                  <c:v>5.7656272054278475</c:v>
                </c:pt>
                <c:pt idx="12">
                  <c:v>5.1636929120969057</c:v>
                </c:pt>
                <c:pt idx="13">
                  <c:v>5.6876456876456878</c:v>
                </c:pt>
                <c:pt idx="14">
                  <c:v>21.004098360655739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D4F-4111-9373-B14823516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75176296"/>
        <c:axId val="675177280"/>
      </c:barChart>
      <c:catAx>
        <c:axId val="6751762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75177280"/>
        <c:crosses val="autoZero"/>
        <c:auto val="1"/>
        <c:lblAlgn val="ctr"/>
        <c:lblOffset val="100"/>
        <c:noMultiLvlLbl val="0"/>
      </c:catAx>
      <c:valAx>
        <c:axId val="675177280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75176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30853538696027"/>
          <c:y val="3.259776412472553E-2"/>
          <c:w val="0.71923570583398511"/>
          <c:h val="0.9134728869205261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'[2]Figure 17'!$L$5:$L$19</c:f>
              <c:numCache>
                <c:formatCode>General</c:formatCode>
                <c:ptCount val="15"/>
                <c:pt idx="0">
                  <c:v>7.5073112812871043</c:v>
                </c:pt>
                <c:pt idx="1">
                  <c:v>8.7785573868098368</c:v>
                </c:pt>
                <c:pt idx="2">
                  <c:v>7.852364213629663</c:v>
                </c:pt>
                <c:pt idx="3">
                  <c:v>12.229483112339128</c:v>
                </c:pt>
                <c:pt idx="4">
                  <c:v>10.37491339269676</c:v>
                </c:pt>
                <c:pt idx="5">
                  <c:v>6.1589675771809027</c:v>
                </c:pt>
                <c:pt idx="6">
                  <c:v>16.094890448956299</c:v>
                </c:pt>
                <c:pt idx="7">
                  <c:v>18.853692172677505</c:v>
                </c:pt>
                <c:pt idx="8">
                  <c:v>20.578249917862227</c:v>
                </c:pt>
                <c:pt idx="9">
                  <c:v>8.516934508380853</c:v>
                </c:pt>
                <c:pt idx="10">
                  <c:v>7.0728325585188809</c:v>
                </c:pt>
                <c:pt idx="11">
                  <c:v>15.646423933233647</c:v>
                </c:pt>
                <c:pt idx="12">
                  <c:v>16.083776970834236</c:v>
                </c:pt>
                <c:pt idx="13">
                  <c:v>21.556329849012776</c:v>
                </c:pt>
                <c:pt idx="14">
                  <c:v>19.509703779366699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25-4759-9B89-F257F7ABB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19682400"/>
        <c:axId val="619689944"/>
      </c:barChart>
      <c:catAx>
        <c:axId val="6196824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19689944"/>
        <c:crosses val="autoZero"/>
        <c:auto val="1"/>
        <c:lblAlgn val="ctr"/>
        <c:lblOffset val="100"/>
        <c:noMultiLvlLbl val="0"/>
      </c:catAx>
      <c:valAx>
        <c:axId val="619689944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9682400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575219549446353"/>
          <c:y val="3.2085151281373459E-2"/>
          <c:w val="0.57236349751813664"/>
          <c:h val="0.900249400614004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9"/>
              <c:layout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1859-4869-88C7-1D2EE199E8B1}"/>
                </c:ext>
              </c:extLst>
            </c:dLbl>
            <c:dLbl>
              <c:idx val="10"/>
              <c:layout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1859-4869-88C7-1D2EE199E8B1}"/>
                </c:ext>
              </c:extLst>
            </c:dLbl>
            <c:dLbl>
              <c:idx val="1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08876069898177"/>
                      <c:h val="4.123769461503669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859-4869-88C7-1D2EE199E8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'Figure 4'!$E$5:$E$19</c:f>
              <c:numCache>
                <c:formatCode>0</c:formatCode>
                <c:ptCount val="15"/>
                <c:pt idx="0">
                  <c:v>7.9897730904442313E-2</c:v>
                </c:pt>
                <c:pt idx="1">
                  <c:v>8.2297329966000907E-2</c:v>
                </c:pt>
                <c:pt idx="2">
                  <c:v>6.8103460507087016E-2</c:v>
                </c:pt>
                <c:pt idx="3">
                  <c:v>0.10030529816480258</c:v>
                </c:pt>
                <c:pt idx="4">
                  <c:v>7.207021698283185E-2</c:v>
                </c:pt>
                <c:pt idx="5">
                  <c:v>5.7452658553378534E-2</c:v>
                </c:pt>
                <c:pt idx="6">
                  <c:v>0.14117047481525524</c:v>
                </c:pt>
                <c:pt idx="7">
                  <c:v>0.21507172537637551</c:v>
                </c:pt>
                <c:pt idx="8">
                  <c:v>0.24093746577592817</c:v>
                </c:pt>
                <c:pt idx="9">
                  <c:v>17.061210319612908</c:v>
                </c:pt>
                <c:pt idx="10">
                  <c:v>18.692626833491229</c:v>
                </c:pt>
                <c:pt idx="11">
                  <c:v>2.3761431721170645</c:v>
                </c:pt>
                <c:pt idx="12">
                  <c:v>12.473399901784253</c:v>
                </c:pt>
                <c:pt idx="13">
                  <c:v>1.118881118881119</c:v>
                </c:pt>
                <c:pt idx="14">
                  <c:v>6.1475409836065573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59-4869-88C7-1D2EE199E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19666000"/>
        <c:axId val="619666328"/>
      </c:barChart>
      <c:catAx>
        <c:axId val="6196660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19666328"/>
        <c:crosses val="autoZero"/>
        <c:auto val="1"/>
        <c:lblAlgn val="ctr"/>
        <c:lblOffset val="100"/>
        <c:noMultiLvlLbl val="0"/>
      </c:catAx>
      <c:valAx>
        <c:axId val="619666328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9666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85509048211079"/>
          <c:y val="3.8526483552127455E-2"/>
          <c:w val="0.77828981903577843"/>
          <c:h val="0.898596709467681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'[2]Figure 18'!$E$4</c:f>
              <c:strCache>
                <c:ptCount val="1"/>
                <c:pt idx="0">
                  <c:v>Moins de 13 ans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'[2]Figure 18'!$B$5:$B$21</c:f>
              <c:strCache>
                <c:ptCount val="17"/>
                <c:pt idx="0">
                  <c:v>Escroqueries et fraudes aux moyens de paiement</c:v>
                </c:pt>
                <c:pt idx="1">
                  <c:v>Trafic de stupéfiants</c:v>
                </c:pt>
                <c:pt idx="2">
                  <c:v>Usage de stupéfiants</c:v>
                </c:pt>
                <c:pt idx="3">
                  <c:v>Destructions et dégradations volontaires</c:v>
                </c:pt>
                <c:pt idx="4">
                  <c:v>Vols d'accessoires sur véhicules</c:v>
                </c:pt>
                <c:pt idx="5">
                  <c:v>Vols dans les véhicules</c:v>
                </c:pt>
                <c:pt idx="6">
                  <c:v>Vols de véhicule</c:v>
                </c:pt>
                <c:pt idx="7">
                  <c:v>Cambriolages de logement</c:v>
                </c:pt>
                <c:pt idx="8">
                  <c:v>Vols sans violence contre des personnes</c:v>
                </c:pt>
                <c:pt idx="9">
                  <c:v>Vols violents sans arme</c:v>
                </c:pt>
                <c:pt idx="10">
                  <c:v>Vols avec armes</c:v>
                </c:pt>
                <c:pt idx="11">
                  <c:v>  dont viols et tentatives de viol</c:v>
                </c:pt>
                <c:pt idx="12">
                  <c:v>Violences sexuelles </c:v>
                </c:pt>
                <c:pt idx="13">
                  <c:v>  dont CBV intrafamiliaux </c:v>
                </c:pt>
                <c:pt idx="14">
                  <c:v>CBV sur personne de 15 ans ou plus</c:v>
                </c:pt>
                <c:pt idx="15">
                  <c:v>Tentatives d'homicide</c:v>
                </c:pt>
                <c:pt idx="16">
                  <c:v>Homicides</c:v>
                </c:pt>
              </c:strCache>
            </c:strRef>
          </c:cat>
          <c:val>
            <c:numRef>
              <c:f>'Figure 5'!$F$5:$F$21</c:f>
              <c:numCache>
                <c:formatCode>0</c:formatCode>
                <c:ptCount val="17"/>
                <c:pt idx="0">
                  <c:v>0.20429654591406907</c:v>
                </c:pt>
                <c:pt idx="1">
                  <c:v>0.14124832983393776</c:v>
                </c:pt>
                <c:pt idx="2">
                  <c:v>3.8525703868049467E-2</c:v>
                </c:pt>
                <c:pt idx="3">
                  <c:v>1.6297463900695246</c:v>
                </c:pt>
                <c:pt idx="4">
                  <c:v>0.44943820224719105</c:v>
                </c:pt>
                <c:pt idx="5">
                  <c:v>0.38185365043788649</c:v>
                </c:pt>
                <c:pt idx="6">
                  <c:v>0.37199582027168238</c:v>
                </c:pt>
                <c:pt idx="7">
                  <c:v>1.0097547293296352</c:v>
                </c:pt>
                <c:pt idx="8">
                  <c:v>1.0101489139713553</c:v>
                </c:pt>
                <c:pt idx="9">
                  <c:v>0.68701694121320944</c:v>
                </c:pt>
                <c:pt idx="10">
                  <c:v>0.33530571992110453</c:v>
                </c:pt>
                <c:pt idx="11">
                  <c:v>6.8021353538832443</c:v>
                </c:pt>
                <c:pt idx="12">
                  <c:v>6.5821345592960601</c:v>
                </c:pt>
                <c:pt idx="13">
                  <c:v>3.5965896178348618</c:v>
                </c:pt>
                <c:pt idx="14">
                  <c:v>0.25207876577386668</c:v>
                </c:pt>
                <c:pt idx="15">
                  <c:v>0.14749262536873156</c:v>
                </c:pt>
                <c:pt idx="16">
                  <c:v>6.9060773480662974E-2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0-468C-A8D8-EB8C1BEFC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00227272"/>
        <c:axId val="500227600"/>
      </c:barChart>
      <c:catAx>
        <c:axId val="5002272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0227600"/>
        <c:crosses val="autoZero"/>
        <c:auto val="1"/>
        <c:lblAlgn val="ctr"/>
        <c:lblOffset val="100"/>
        <c:noMultiLvlLbl val="0"/>
      </c:catAx>
      <c:valAx>
        <c:axId val="500227600"/>
        <c:scaling>
          <c:orientation val="minMax"/>
          <c:max val="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0227272"/>
        <c:crosses val="autoZero"/>
        <c:crossBetween val="between"/>
        <c:majorUnit val="25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17073905022266"/>
          <c:y val="1.6751851851851851E-2"/>
          <c:w val="0.78422058048995746"/>
          <c:h val="0.916919907407407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'[2]Figure 18'!$G$4</c:f>
              <c:strCache>
                <c:ptCount val="1"/>
                <c:pt idx="0">
                  <c:v>18 à 29 ans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'Figure 5'!$H$5:$H$21</c:f>
              <c:numCache>
                <c:formatCode>0</c:formatCode>
                <c:ptCount val="17"/>
                <c:pt idx="0">
                  <c:v>38.121314237573714</c:v>
                </c:pt>
                <c:pt idx="1">
                  <c:v>56.197747661767515</c:v>
                </c:pt>
                <c:pt idx="2">
                  <c:v>63.828835801386241</c:v>
                </c:pt>
                <c:pt idx="3">
                  <c:v>36.016269316294647</c:v>
                </c:pt>
                <c:pt idx="4">
                  <c:v>56.880370125578317</c:v>
                </c:pt>
                <c:pt idx="5">
                  <c:v>44.917610924334866</c:v>
                </c:pt>
                <c:pt idx="6">
                  <c:v>49.638453500522466</c:v>
                </c:pt>
                <c:pt idx="7">
                  <c:v>41.00414498083336</c:v>
                </c:pt>
                <c:pt idx="8">
                  <c:v>32.963419646526923</c:v>
                </c:pt>
                <c:pt idx="9">
                  <c:v>41.111718323054106</c:v>
                </c:pt>
                <c:pt idx="10">
                  <c:v>50.394477317554241</c:v>
                </c:pt>
                <c:pt idx="11">
                  <c:v>30.57000172205958</c:v>
                </c:pt>
                <c:pt idx="12">
                  <c:v>24.429037520391518</c:v>
                </c:pt>
                <c:pt idx="13">
                  <c:v>31.940442939145353</c:v>
                </c:pt>
                <c:pt idx="14">
                  <c:v>25.267991553593262</c:v>
                </c:pt>
                <c:pt idx="15">
                  <c:v>48.171091445427727</c:v>
                </c:pt>
                <c:pt idx="16">
                  <c:v>44.337016574585633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2B-45D3-A09B-9425A996A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19666000"/>
        <c:axId val="619666328"/>
      </c:barChart>
      <c:catAx>
        <c:axId val="619666000"/>
        <c:scaling>
          <c:orientation val="minMax"/>
        </c:scaling>
        <c:delete val="1"/>
        <c:axPos val="l"/>
        <c:majorTickMark val="none"/>
        <c:minorTickMark val="none"/>
        <c:tickLblPos val="nextTo"/>
        <c:crossAx val="619666328"/>
        <c:crosses val="autoZero"/>
        <c:auto val="1"/>
        <c:lblAlgn val="ctr"/>
        <c:lblOffset val="100"/>
        <c:noMultiLvlLbl val="0"/>
      </c:catAx>
      <c:valAx>
        <c:axId val="619666328"/>
        <c:scaling>
          <c:orientation val="minMax"/>
          <c:max val="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9666000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16296296296298"/>
          <c:y val="1.7638888888888888E-2"/>
          <c:w val="0.66086296296296299"/>
          <c:h val="0.91416250000000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'[2]Figure 18'!$H$4</c:f>
              <c:strCache>
                <c:ptCount val="1"/>
                <c:pt idx="0">
                  <c:v>30 à 44 ans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0.20089369986127903"/>
                  <c:y val="-1.0067324746701293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5EFB-44B7-AC94-142748145F97}"/>
                </c:ext>
              </c:extLst>
            </c:dLbl>
            <c:dLbl>
              <c:idx val="5"/>
              <c:layout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5EFB-44B7-AC94-142748145F9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EFB-44B7-AC94-142748145F9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EFB-44B7-AC94-142748145F9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EFB-44B7-AC94-142748145F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'Figure 5'!$I$5:$I$21</c:f>
              <c:numCache>
                <c:formatCode>0</c:formatCode>
                <c:ptCount val="17"/>
                <c:pt idx="0">
                  <c:v>34.764111204717771</c:v>
                </c:pt>
                <c:pt idx="1">
                  <c:v>18.629509448368008</c:v>
                </c:pt>
                <c:pt idx="2">
                  <c:v>24.657826393546944</c:v>
                </c:pt>
                <c:pt idx="3">
                  <c:v>27.097700340586034</c:v>
                </c:pt>
                <c:pt idx="4">
                  <c:v>22.181097157964309</c:v>
                </c:pt>
                <c:pt idx="5">
                  <c:v>28.576765035487483</c:v>
                </c:pt>
                <c:pt idx="6">
                  <c:v>16.217345872518287</c:v>
                </c:pt>
                <c:pt idx="7">
                  <c:v>28.039392900551626</c:v>
                </c:pt>
                <c:pt idx="8">
                  <c:v>29.616807360333869</c:v>
                </c:pt>
                <c:pt idx="9">
                  <c:v>17.425247872589587</c:v>
                </c:pt>
                <c:pt idx="10">
                  <c:v>15.108481262327416</c:v>
                </c:pt>
                <c:pt idx="11">
                  <c:v>27.218873773032549</c:v>
                </c:pt>
                <c:pt idx="12">
                  <c:v>27.538434920164121</c:v>
                </c:pt>
                <c:pt idx="13">
                  <c:v>26.192937312601259</c:v>
                </c:pt>
                <c:pt idx="14">
                  <c:v>48.017216120916984</c:v>
                </c:pt>
                <c:pt idx="15">
                  <c:v>25.634218289085549</c:v>
                </c:pt>
                <c:pt idx="16">
                  <c:v>28.52209944751381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FB-44B7-AC94-142748145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19703392"/>
        <c:axId val="619705360"/>
      </c:barChart>
      <c:catAx>
        <c:axId val="6197033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19705360"/>
        <c:crosses val="autoZero"/>
        <c:auto val="1"/>
        <c:lblAlgn val="ctr"/>
        <c:lblOffset val="100"/>
        <c:noMultiLvlLbl val="0"/>
      </c:catAx>
      <c:valAx>
        <c:axId val="619705360"/>
        <c:scaling>
          <c:orientation val="minMax"/>
          <c:max val="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9703392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4907920352357"/>
          <c:y val="1.1295601851851852E-2"/>
          <c:w val="0.62601137346436531"/>
          <c:h val="0.9223078703703703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13"/>
              <c:layout>
                <c:manualLayout>
                  <c:x val="-0.20008925382063469"/>
                  <c:y val="2.745665739626114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03DD-4B93-9CC0-FCF6448D42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'Figure 5'!$J$5:$J$21</c:f>
              <c:numCache>
                <c:formatCode>0</c:formatCode>
                <c:ptCount val="17"/>
                <c:pt idx="0">
                  <c:v>16.792333614153325</c:v>
                </c:pt>
                <c:pt idx="1">
                  <c:v>4.8463447222752434</c:v>
                </c:pt>
                <c:pt idx="2">
                  <c:v>5.9714840995476672</c:v>
                </c:pt>
                <c:pt idx="3">
                  <c:v>12.092211557407042</c:v>
                </c:pt>
                <c:pt idx="4">
                  <c:v>4.4943820224719104</c:v>
                </c:pt>
                <c:pt idx="5">
                  <c:v>6.8816668741958242</c:v>
                </c:pt>
                <c:pt idx="6">
                  <c:v>4.7857889237199576</c:v>
                </c:pt>
                <c:pt idx="7">
                  <c:v>7.3456540031788569</c:v>
                </c:pt>
                <c:pt idx="8">
                  <c:v>15.420974422207468</c:v>
                </c:pt>
                <c:pt idx="9">
                  <c:v>4.777890545710048</c:v>
                </c:pt>
                <c:pt idx="10">
                  <c:v>3.1163708086785014</c:v>
                </c:pt>
                <c:pt idx="11">
                  <c:v>11.086619597038057</c:v>
                </c:pt>
                <c:pt idx="12">
                  <c:v>15.823817292006526</c:v>
                </c:pt>
                <c:pt idx="13">
                  <c:v>13.317498368852037</c:v>
                </c:pt>
                <c:pt idx="14">
                  <c:v>19.631833658324659</c:v>
                </c:pt>
                <c:pt idx="15">
                  <c:v>9.4100294985250734</c:v>
                </c:pt>
                <c:pt idx="16">
                  <c:v>11.533149171270718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DD-4B93-9CC0-FCF6448D4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30002808"/>
        <c:axId val="629998872"/>
      </c:barChart>
      <c:catAx>
        <c:axId val="6300028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29998872"/>
        <c:crosses val="autoZero"/>
        <c:auto val="1"/>
        <c:lblAlgn val="ctr"/>
        <c:lblOffset val="100"/>
        <c:noMultiLvlLbl val="0"/>
      </c:catAx>
      <c:valAx>
        <c:axId val="629998872"/>
        <c:scaling>
          <c:orientation val="minMax"/>
          <c:max val="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000280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607478570402948"/>
          <c:y val="4.6953733084134426E-2"/>
          <c:w val="0.66086296296296299"/>
          <c:h val="0.898596709467681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'[2]Figure 18'!$J$4</c:f>
              <c:strCache>
                <c:ptCount val="1"/>
                <c:pt idx="0">
                  <c:v>60 ans ou plus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'Figure 5'!$K$5:$K$21</c:f>
              <c:numCache>
                <c:formatCode>0</c:formatCode>
                <c:ptCount val="17"/>
                <c:pt idx="0">
                  <c:v>4.9831508003369844</c:v>
                </c:pt>
                <c:pt idx="1">
                  <c:v>0.73105554495132663</c:v>
                </c:pt>
                <c:pt idx="2">
                  <c:v>0.48260323684708389</c:v>
                </c:pt>
                <c:pt idx="3">
                  <c:v>4.3108058659611004</c:v>
                </c:pt>
                <c:pt idx="4">
                  <c:v>1.5069398545935229</c:v>
                </c:pt>
                <c:pt idx="5">
                  <c:v>1.0251940397625865</c:v>
                </c:pt>
                <c:pt idx="6">
                  <c:v>0.9237199582027168</c:v>
                </c:pt>
                <c:pt idx="7">
                  <c:v>1.0346869448686382</c:v>
                </c:pt>
                <c:pt idx="8">
                  <c:v>5.3526826646432077</c:v>
                </c:pt>
                <c:pt idx="9">
                  <c:v>0.92122726208134897</c:v>
                </c:pt>
                <c:pt idx="10">
                  <c:v>0.27613412228796846</c:v>
                </c:pt>
                <c:pt idx="11">
                  <c:v>3.7265369381780609</c:v>
                </c:pt>
                <c:pt idx="12">
                  <c:v>7.657323644273073</c:v>
                </c:pt>
                <c:pt idx="13">
                  <c:v>4.7035709311105736</c:v>
                </c:pt>
                <c:pt idx="14">
                  <c:v>4.6162239712256383</c:v>
                </c:pt>
                <c:pt idx="15">
                  <c:v>3.7463126843657815</c:v>
                </c:pt>
                <c:pt idx="16">
                  <c:v>7.0441988950276242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C-4263-A185-5F4864E4C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19631560"/>
        <c:axId val="619635496"/>
      </c:barChart>
      <c:catAx>
        <c:axId val="6196315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19635496"/>
        <c:crosses val="autoZero"/>
        <c:auto val="1"/>
        <c:lblAlgn val="ctr"/>
        <c:lblOffset val="100"/>
        <c:noMultiLvlLbl val="0"/>
      </c:catAx>
      <c:valAx>
        <c:axId val="619635496"/>
        <c:scaling>
          <c:orientation val="minMax"/>
          <c:max val="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9631560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858920680813922"/>
          <c:y val="3.1451036454610434E-2"/>
          <c:w val="0.61814003600458245"/>
          <c:h val="0.902220821396610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6CC-4DE8-AAA0-96EB0774879F}"/>
                </c:ext>
              </c:extLst>
            </c:dLbl>
            <c:dLbl>
              <c:idx val="1"/>
              <c:layout>
                <c:manualLayout>
                  <c:x val="-0.20493710390278344"/>
                  <c:y val="1.0280942033092046E-1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275069085456745"/>
                      <c:h val="5.323263928445583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6CC-4DE8-AAA0-96EB0774879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6CC-4DE8-AAA0-96EB0774879F}"/>
                </c:ext>
              </c:extLst>
            </c:dLbl>
            <c:dLbl>
              <c:idx val="3"/>
              <c:layout>
                <c:manualLayout>
                  <c:x val="-0.23291388072842659"/>
                  <c:y val="1.103907744076958E-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703512243599237"/>
                      <c:h val="4.76247879393221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6CC-4DE8-AAA0-96EB0774879F}"/>
                </c:ext>
              </c:extLst>
            </c:dLbl>
            <c:dLbl>
              <c:idx val="5"/>
              <c:layout>
                <c:manualLayout>
                  <c:x val="-0.20968286070454092"/>
                  <c:y val="1.1039077451050522E-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489290664527991"/>
                      <c:h val="4.48208622667553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06CC-4DE8-AAA0-96EB0774879F}"/>
                </c:ext>
              </c:extLst>
            </c:dLbl>
            <c:dLbl>
              <c:idx val="8"/>
              <c:layout>
                <c:manualLayout>
                  <c:x val="-0.17250529582523341"/>
                  <c:y val="5.607851345133665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06CC-4DE8-AAA0-96EB0774879F}"/>
                </c:ext>
              </c:extLst>
            </c:dLbl>
            <c:dLbl>
              <c:idx val="12"/>
              <c:layout>
                <c:manualLayout>
                  <c:x val="-0.20355016432313686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489290664527991"/>
                      <c:h val="5.323263928445583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06CC-4DE8-AAA0-96EB0774879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6CC-4DE8-AAA0-96EB0774879F}"/>
                </c:ext>
              </c:extLst>
            </c:dLbl>
            <c:dLbl>
              <c:idx val="14"/>
              <c:layout>
                <c:manualLayout>
                  <c:x val="-0.17513533775596488"/>
                  <c:y val="2.804036063341317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762197832852424"/>
                      <c:h val="4.76247879393221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06CC-4DE8-AAA0-96EB0774879F}"/>
                </c:ext>
              </c:extLst>
            </c:dLbl>
            <c:dLbl>
              <c:idx val="15"/>
              <c:layout>
                <c:manualLayout>
                  <c:x val="-0.26184782892958952"/>
                  <c:y val="-1.2851177541365058E-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560398559884226"/>
                      <c:h val="5.603656495702266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06CC-4DE8-AAA0-96EB0774879F}"/>
                </c:ext>
              </c:extLst>
            </c:dLbl>
            <c:dLbl>
              <c:idx val="16"/>
              <c:layout>
                <c:manualLayout>
                  <c:x val="-0.12346551829348022"/>
                  <c:y val="-6.425588770682529E-1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06CC-4DE8-AAA0-96EB077487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'[2]Figure 18'!$F$7:$F$21</c:f>
              <c:numCache>
                <c:formatCode>General</c:formatCode>
                <c:ptCount val="15"/>
                <c:pt idx="0">
                  <c:v>5.0462839233217522</c:v>
                </c:pt>
                <c:pt idx="1">
                  <c:v>18.856965630022273</c:v>
                </c:pt>
                <c:pt idx="2">
                  <c:v>14.751511964238759</c:v>
                </c:pt>
                <c:pt idx="3">
                  <c:v>18.21161825726141</c:v>
                </c:pt>
                <c:pt idx="4">
                  <c:v>28.160440293529021</c:v>
                </c:pt>
                <c:pt idx="5">
                  <c:v>21.4858748244108</c:v>
                </c:pt>
                <c:pt idx="6">
                  <c:v>15.557210540493433</c:v>
                </c:pt>
                <c:pt idx="7">
                  <c:v>35.126433171038165</c:v>
                </c:pt>
                <c:pt idx="8">
                  <c:v>30.799840827695981</c:v>
                </c:pt>
                <c:pt idx="9">
                  <c:v>20.610450077599587</c:v>
                </c:pt>
                <c:pt idx="10">
                  <c:v>17.980779933954214</c:v>
                </c:pt>
                <c:pt idx="11">
                  <c:v>2.2637782893660918</c:v>
                </c:pt>
                <c:pt idx="12">
                  <c:v>7.8167410226811835</c:v>
                </c:pt>
                <c:pt idx="13">
                  <c:v>12.96461492714838</c:v>
                </c:pt>
                <c:pt idx="14">
                  <c:v>8.2638888888888893</c:v>
                </c:pt>
              </c:numCache>
            </c:numRef>
          </c:cat>
          <c:val>
            <c:numRef>
              <c:f>'Figure 5'!$G$5:$G$21</c:f>
              <c:numCache>
                <c:formatCode>0</c:formatCode>
                <c:ptCount val="17"/>
                <c:pt idx="0">
                  <c:v>5.1347935973041281</c:v>
                </c:pt>
                <c:pt idx="1">
                  <c:v>19.454094292803969</c:v>
                </c:pt>
                <c:pt idx="2">
                  <c:v>5.020724764804017</c:v>
                </c:pt>
                <c:pt idx="3">
                  <c:v>18.853266529681651</c:v>
                </c:pt>
                <c:pt idx="4">
                  <c:v>14.487772637144747</c:v>
                </c:pt>
                <c:pt idx="5">
                  <c:v>18.21690947578135</c:v>
                </c:pt>
                <c:pt idx="6">
                  <c:v>28.062695924764892</c:v>
                </c:pt>
                <c:pt idx="7">
                  <c:v>21.566366441237886</c:v>
                </c:pt>
                <c:pt idx="8">
                  <c:v>15.635966992317178</c:v>
                </c:pt>
                <c:pt idx="9">
                  <c:v>35.07689905535171</c:v>
                </c:pt>
                <c:pt idx="10">
                  <c:v>30.76923076923077</c:v>
                </c:pt>
                <c:pt idx="11">
                  <c:v>20.595832615808508</c:v>
                </c:pt>
                <c:pt idx="12">
                  <c:v>17.969252063868705</c:v>
                </c:pt>
                <c:pt idx="13">
                  <c:v>20.248960830455914</c:v>
                </c:pt>
                <c:pt idx="14">
                  <c:v>2.2146559301655939</c:v>
                </c:pt>
                <c:pt idx="15">
                  <c:v>12.890855457227138</c:v>
                </c:pt>
                <c:pt idx="16">
                  <c:v>8.4944751381215475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6CC-4DE8-AAA0-96EB07748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19666000"/>
        <c:axId val="619666328"/>
      </c:barChart>
      <c:catAx>
        <c:axId val="6196660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19666328"/>
        <c:crosses val="autoZero"/>
        <c:auto val="1"/>
        <c:lblAlgn val="ctr"/>
        <c:lblOffset val="100"/>
        <c:noMultiLvlLbl val="0"/>
      </c:catAx>
      <c:valAx>
        <c:axId val="619666328"/>
        <c:scaling>
          <c:orientation val="minMax"/>
          <c:max val="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9666000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78435817144478559"/>
          <c:y val="9.1030770686374482E-2"/>
          <c:w val="0.18281012170775954"/>
          <c:h val="0.8468587209731314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5"/>
            </a:solidFill>
            <a:ln>
              <a:solidFill>
                <a:schemeClr val="accent5"/>
              </a:solidFill>
            </a:ln>
            <a:effectLst/>
          </c:spPr>
          <c:invertIfNegative val="0"/>
          <c:cat>
            <c:strRef>
              <c:f>'Figure 5'!$C$5:$C$21</c:f>
              <c:strCache>
                <c:ptCount val="17"/>
                <c:pt idx="0">
                  <c:v>Escroqueries et fraudes aux moyens de paiement</c:v>
                </c:pt>
                <c:pt idx="1">
                  <c:v>Trafic de stupéfiants</c:v>
                </c:pt>
                <c:pt idx="2">
                  <c:v>Usage de stupéfiants</c:v>
                </c:pt>
                <c:pt idx="3">
                  <c:v>Destructions et dégradations volontaires</c:v>
                </c:pt>
                <c:pt idx="4">
                  <c:v>Vols d'accessoires sur véhicules</c:v>
                </c:pt>
                <c:pt idx="5">
                  <c:v>Vols dans les véhicules</c:v>
                </c:pt>
                <c:pt idx="6">
                  <c:v>Vols de véhicule</c:v>
                </c:pt>
                <c:pt idx="7">
                  <c:v>Cambriolages de logement</c:v>
                </c:pt>
                <c:pt idx="8">
                  <c:v>Vols sans violence contre des personnes</c:v>
                </c:pt>
                <c:pt idx="9">
                  <c:v>Vols violents sans arme</c:v>
                </c:pt>
                <c:pt idx="10">
                  <c:v>Vols avec armes</c:v>
                </c:pt>
                <c:pt idx="11">
                  <c:v>  dont viols et tentatives de viol</c:v>
                </c:pt>
                <c:pt idx="12">
                  <c:v>Violences sexuelles </c:v>
                </c:pt>
                <c:pt idx="13">
                  <c:v>Violences physiques hors cadre familial</c:v>
                </c:pt>
                <c:pt idx="14">
                  <c:v>Violences physiques intrafamiliales </c:v>
                </c:pt>
                <c:pt idx="15">
                  <c:v>Tentatives d'homicide</c:v>
                </c:pt>
                <c:pt idx="16">
                  <c:v>Homicides</c:v>
                </c:pt>
              </c:strCache>
            </c:strRef>
          </c:cat>
          <c:val>
            <c:numRef>
              <c:f>'Figure 5'!$D$5:$D$21</c:f>
              <c:numCache>
                <c:formatCode>0</c:formatCode>
                <c:ptCount val="17"/>
                <c:pt idx="0">
                  <c:v>26.680707666385846</c:v>
                </c:pt>
                <c:pt idx="1">
                  <c:v>9.7289559076159584</c:v>
                </c:pt>
                <c:pt idx="2">
                  <c:v>7.532119085702492</c:v>
                </c:pt>
                <c:pt idx="3">
                  <c:v>12.194950319475328</c:v>
                </c:pt>
                <c:pt idx="4">
                  <c:v>3.5955056179775284</c:v>
                </c:pt>
                <c:pt idx="5">
                  <c:v>3.9721080811854064</c:v>
                </c:pt>
                <c:pt idx="6">
                  <c:v>5.2539184952978051</c:v>
                </c:pt>
                <c:pt idx="7">
                  <c:v>8.5050020257425132</c:v>
                </c:pt>
                <c:pt idx="8">
                  <c:v>20.067027095387143</c:v>
                </c:pt>
                <c:pt idx="9">
                  <c:v>7.0653446795222106</c:v>
                </c:pt>
                <c:pt idx="10">
                  <c:v>5.384615384615385</c:v>
                </c:pt>
                <c:pt idx="11">
                  <c:v>2.5452040640606164</c:v>
                </c:pt>
                <c:pt idx="12">
                  <c:v>4.5009639626279103</c:v>
                </c:pt>
                <c:pt idx="13">
                  <c:v>16.844443466977502</c:v>
                </c:pt>
                <c:pt idx="14">
                  <c:v>20.9861887105085</c:v>
                </c:pt>
                <c:pt idx="15">
                  <c:v>10.176991150442479</c:v>
                </c:pt>
                <c:pt idx="16">
                  <c:v>13.259668508287293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2-4441-B3F1-0DC47FA23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41358080"/>
        <c:axId val="541360048"/>
      </c:barChart>
      <c:catAx>
        <c:axId val="541358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1360048"/>
        <c:crosses val="autoZero"/>
        <c:auto val="1"/>
        <c:lblAlgn val="ctr"/>
        <c:lblOffset val="100"/>
        <c:noMultiLvlLbl val="0"/>
      </c:catAx>
      <c:valAx>
        <c:axId val="541360048"/>
        <c:scaling>
          <c:orientation val="minMax"/>
          <c:max val="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1358080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668134895665038E-2"/>
          <c:y val="9.6462895409101884E-2"/>
          <c:w val="0.82242546895460966"/>
          <c:h val="0.8415924644933401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'[2]Figure 18'!$L$4</c:f>
              <c:strCache>
                <c:ptCount val="1"/>
                <c:pt idx="0">
                  <c:v>Etrangers</c:v>
                </c:pt>
              </c:strCache>
            </c:strRef>
          </c:tx>
          <c:spPr>
            <a:solidFill>
              <a:srgbClr val="9966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1713168061532504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BF9D-44AB-B9BA-A6099496C802}"/>
                </c:ext>
              </c:extLst>
            </c:dLbl>
            <c:dLbl>
              <c:idx val="2"/>
              <c:layout>
                <c:manualLayout>
                  <c:x val="-0.16544956921966716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F9D-44AB-B9BA-A6099496C802}"/>
                </c:ext>
              </c:extLst>
            </c:dLbl>
            <c:dLbl>
              <c:idx val="3"/>
              <c:layout>
                <c:manualLayout>
                  <c:x val="-0.1899367250134206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BF9D-44AB-B9BA-A6099496C802}"/>
                </c:ext>
              </c:extLst>
            </c:dLbl>
            <c:dLbl>
              <c:idx val="6"/>
              <c:layout>
                <c:manualLayout>
                  <c:x val="-0.18076933231248515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BF9D-44AB-B9BA-A6099496C802}"/>
                </c:ext>
              </c:extLst>
            </c:dLbl>
            <c:dLbl>
              <c:idx val="11"/>
              <c:layout>
                <c:manualLayout>
                  <c:x val="-0.1808907780447237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BF9D-44AB-B9BA-A6099496C802}"/>
                </c:ext>
              </c:extLst>
            </c:dLbl>
            <c:dLbl>
              <c:idx val="12"/>
              <c:layout>
                <c:manualLayout>
                  <c:x val="-0.17875667731516928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BF9D-44AB-B9BA-A6099496C8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'Figure 5'!$M$5:$M$21</c:f>
              <c:numCache>
                <c:formatCode>0</c:formatCode>
                <c:ptCount val="17"/>
                <c:pt idx="0">
                  <c:v>13.039174389216512</c:v>
                </c:pt>
                <c:pt idx="1">
                  <c:v>21.641662685140943</c:v>
                </c:pt>
                <c:pt idx="2">
                  <c:v>12.54576233862754</c:v>
                </c:pt>
                <c:pt idx="3">
                  <c:v>12.759309820699755</c:v>
                </c:pt>
                <c:pt idx="4">
                  <c:v>20.938532716457374</c:v>
                </c:pt>
                <c:pt idx="5">
                  <c:v>39.073589839372438</c:v>
                </c:pt>
                <c:pt idx="6">
                  <c:v>10.842215256008359</c:v>
                </c:pt>
                <c:pt idx="7">
                  <c:v>37.491819116776256</c:v>
                </c:pt>
                <c:pt idx="8">
                  <c:v>29.284833538840942</c:v>
                </c:pt>
                <c:pt idx="9">
                  <c:v>29.502693418689987</c:v>
                </c:pt>
                <c:pt idx="10">
                  <c:v>21.676528599605533</c:v>
                </c:pt>
                <c:pt idx="11">
                  <c:v>13.721370759428282</c:v>
                </c:pt>
                <c:pt idx="12">
                  <c:v>12.737901033170189</c:v>
                </c:pt>
                <c:pt idx="13">
                  <c:v>15.352584544781422</c:v>
                </c:pt>
                <c:pt idx="14">
                  <c:v>16.310354930943546</c:v>
                </c:pt>
                <c:pt idx="15">
                  <c:v>19.587020648967552</c:v>
                </c:pt>
                <c:pt idx="16">
                  <c:v>17.886740331491708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9D-44AB-B9BA-A6099496C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735541048"/>
        <c:axId val="735545968"/>
      </c:barChart>
      <c:catAx>
        <c:axId val="735541048"/>
        <c:scaling>
          <c:orientation val="minMax"/>
        </c:scaling>
        <c:delete val="1"/>
        <c:axPos val="l"/>
        <c:majorTickMark val="none"/>
        <c:minorTickMark val="none"/>
        <c:tickLblPos val="nextTo"/>
        <c:crossAx val="735545968"/>
        <c:crosses val="autoZero"/>
        <c:auto val="1"/>
        <c:lblAlgn val="ctr"/>
        <c:lblOffset val="100"/>
        <c:noMultiLvlLbl val="0"/>
      </c:catAx>
      <c:valAx>
        <c:axId val="735545968"/>
        <c:scaling>
          <c:orientation val="minMax"/>
          <c:max val="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554104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Vols liés aux véhicules</a:t>
            </a:r>
          </a:p>
          <a:p>
            <a:pPr>
              <a:defRPr/>
            </a:pPr>
            <a:r>
              <a:rPr lang="fr-FR"/>
              <a:t>Croissance annuelle moyenne :</a:t>
            </a:r>
          </a:p>
          <a:p>
            <a:pPr>
              <a:defRPr/>
            </a:pPr>
            <a:r>
              <a:rPr lang="fr-FR"/>
              <a:t>-2 % par an vols de véhicule,</a:t>
            </a:r>
          </a:p>
          <a:p>
            <a:pPr>
              <a:defRPr/>
            </a:pPr>
            <a:r>
              <a:rPr lang="fr-FR"/>
              <a:t>-1 % vols dans le véhicule,</a:t>
            </a:r>
          </a:p>
          <a:p>
            <a:pPr>
              <a:defRPr/>
            </a:pPr>
            <a:r>
              <a:rPr lang="fr-FR"/>
              <a:t>-1 % vols d’accessoires sur véhicule</a:t>
            </a:r>
          </a:p>
        </c:rich>
      </c:tx>
      <c:layout>
        <c:manualLayout>
          <c:xMode val="edge"/>
          <c:yMode val="edge"/>
          <c:x val="0.21751377659929874"/>
          <c:y val="2.11864701311086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'Encadré 2'!$B$23</c:f>
              <c:strCache>
                <c:ptCount val="1"/>
                <c:pt idx="0">
                  <c:v>Vols de véhicule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'Encadré 2'!$C$22:$K$22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'Encadré 2'!$C$23:$K$23</c:f>
              <c:numCache>
                <c:formatCode>0</c:formatCode>
                <c:ptCount val="9"/>
                <c:pt idx="0">
                  <c:v>115.07673076572996</c:v>
                </c:pt>
                <c:pt idx="1">
                  <c:v>109.59996899485185</c:v>
                </c:pt>
                <c:pt idx="2">
                  <c:v>101.86383748571268</c:v>
                </c:pt>
                <c:pt idx="3" formatCode="General">
                  <c:v>100</c:v>
                </c:pt>
                <c:pt idx="4">
                  <c:v>87.016884480996922</c:v>
                </c:pt>
                <c:pt idx="5">
                  <c:v>87.333423841201565</c:v>
                </c:pt>
                <c:pt idx="6">
                  <c:v>95.130438510621573</c:v>
                </c:pt>
                <c:pt idx="7">
                  <c:v>99.975705782738245</c:v>
                </c:pt>
                <c:pt idx="8">
                  <c:v>98.305835613893436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5D-43A2-9EF6-198620052042}"/>
            </c:ext>
          </c:extLst>
        </c:ser>
        <c:ser>
          <c:idx val="1"/>
          <c:order val="1"/>
          <c:tx>
            <c:strRef>
              <c:f>'Encadré 2'!$B$24</c:f>
              <c:strCache>
                <c:ptCount val="1"/>
                <c:pt idx="0">
                  <c:v>Vols dans les véhicules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'Encadré 2'!$C$22:$K$22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'Encadré 2'!$C$24:$K$24</c:f>
              <c:numCache>
                <c:formatCode>0</c:formatCode>
                <c:ptCount val="9"/>
                <c:pt idx="0">
                  <c:v>101.15537906983559</c:v>
                </c:pt>
                <c:pt idx="1">
                  <c:v>100.73977067476945</c:v>
                </c:pt>
                <c:pt idx="2">
                  <c:v>99.724253775716505</c:v>
                </c:pt>
                <c:pt idx="3" formatCode="General">
                  <c:v>100</c:v>
                </c:pt>
                <c:pt idx="4">
                  <c:v>82.994848608383052</c:v>
                </c:pt>
                <c:pt idx="5">
                  <c:v>83.482192491568767</c:v>
                </c:pt>
                <c:pt idx="6">
                  <c:v>91.101063632657599</c:v>
                </c:pt>
                <c:pt idx="7">
                  <c:v>94.349405181039913</c:v>
                </c:pt>
                <c:pt idx="8">
                  <c:v>94.896786865804387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5D-43A2-9EF6-198620052042}"/>
            </c:ext>
          </c:extLst>
        </c:ser>
        <c:ser>
          <c:idx val="2"/>
          <c:order val="2"/>
          <c:tx>
            <c:strRef>
              <c:f>'Encadré 2'!$B$25</c:f>
              <c:strCache>
                <c:ptCount val="1"/>
                <c:pt idx="0">
                  <c:v>Vols d'accessoires sur véhicules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'Encadré 2'!$C$22:$K$22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'Encadré 2'!$C$25:$K$25</c:f>
              <c:numCache>
                <c:formatCode>0</c:formatCode>
                <c:ptCount val="9"/>
                <c:pt idx="0">
                  <c:v>115.24012429525705</c:v>
                </c:pt>
                <c:pt idx="1">
                  <c:v>110.87099014840976</c:v>
                </c:pt>
                <c:pt idx="2">
                  <c:v>105.12267766391736</c:v>
                </c:pt>
                <c:pt idx="3" formatCode="General">
                  <c:v>100</c:v>
                </c:pt>
                <c:pt idx="4">
                  <c:v>82.167828329948946</c:v>
                </c:pt>
                <c:pt idx="5">
                  <c:v>85.358652104714338</c:v>
                </c:pt>
                <c:pt idx="6">
                  <c:v>111.24526645079852</c:v>
                </c:pt>
                <c:pt idx="7">
                  <c:v>101.6190110312277</c:v>
                </c:pt>
                <c:pt idx="8">
                  <c:v>105.43109598814556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5D-43A2-9EF6-198620052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3048872"/>
        <c:axId val="743043952"/>
      </c:lineChart>
      <c:catAx>
        <c:axId val="743048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3043952"/>
        <c:crosses val="autoZero"/>
        <c:auto val="1"/>
        <c:lblAlgn val="ctr"/>
        <c:lblOffset val="100"/>
        <c:noMultiLvlLbl val="0"/>
      </c:catAx>
      <c:valAx>
        <c:axId val="743043952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3048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Infractions à la législation des stupéfiants</a:t>
            </a:r>
          </a:p>
          <a:p>
            <a:pPr>
              <a:defRPr/>
            </a:pPr>
            <a:r>
              <a:rPr lang="fr-FR"/>
              <a:t>Croissance annuelle moyenne :</a:t>
            </a:r>
          </a:p>
          <a:p>
            <a:pPr>
              <a:defRPr/>
            </a:pPr>
            <a:r>
              <a:rPr lang="fr-FR"/>
              <a:t>+6 % par an usage de stupéfiants</a:t>
            </a:r>
          </a:p>
          <a:p>
            <a:pPr>
              <a:defRPr/>
            </a:pPr>
            <a:r>
              <a:rPr lang="fr-FR"/>
              <a:t>et +3 % trafic de stupéfiants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'Encadré 2'!$B$27</c:f>
              <c:strCache>
                <c:ptCount val="1"/>
                <c:pt idx="0">
                  <c:v>Usage de stupéfiants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'Encadré 2'!$C$26:$K$26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'Encadré 2'!$C$27:$K$27</c:f>
              <c:numCache>
                <c:formatCode>0</c:formatCode>
                <c:ptCount val="9"/>
                <c:pt idx="0">
                  <c:v>102.74461437263608</c:v>
                </c:pt>
                <c:pt idx="1">
                  <c:v>106.02694886706709</c:v>
                </c:pt>
                <c:pt idx="2">
                  <c:v>105.07113391581639</c:v>
                </c:pt>
                <c:pt idx="3" formatCode="General">
                  <c:v>100</c:v>
                </c:pt>
                <c:pt idx="4">
                  <c:v>90.646083089565607</c:v>
                </c:pt>
                <c:pt idx="5">
                  <c:v>124.77074561922636</c:v>
                </c:pt>
                <c:pt idx="6">
                  <c:v>141.82434069990927</c:v>
                </c:pt>
                <c:pt idx="7">
                  <c:v>148.1606105183657</c:v>
                </c:pt>
                <c:pt idx="8">
                  <c:v>163.75723553316087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03-4BC0-A5EC-158D35DF0B67}"/>
            </c:ext>
          </c:extLst>
        </c:ser>
        <c:ser>
          <c:idx val="1"/>
          <c:order val="1"/>
          <c:tx>
            <c:strRef>
              <c:f>'Encadré 2'!$B$28</c:f>
              <c:strCache>
                <c:ptCount val="1"/>
                <c:pt idx="0">
                  <c:v>Trafic de stupéfiants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'Encadré 2'!$C$26:$K$26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'Encadré 2'!$C$28:$K$28</c:f>
              <c:numCache>
                <c:formatCode>0</c:formatCode>
                <c:ptCount val="9"/>
                <c:pt idx="0">
                  <c:v>84.429873032245382</c:v>
                </c:pt>
                <c:pt idx="1">
                  <c:v>92.989357831544467</c:v>
                </c:pt>
                <c:pt idx="2">
                  <c:v>96.519043011698471</c:v>
                </c:pt>
                <c:pt idx="3" formatCode="General">
                  <c:v>100</c:v>
                </c:pt>
                <c:pt idx="4">
                  <c:v>87.543296712637328</c:v>
                </c:pt>
                <c:pt idx="5">
                  <c:v>99.262627765145879</c:v>
                </c:pt>
                <c:pt idx="6">
                  <c:v>104.15010943708963</c:v>
                </c:pt>
                <c:pt idx="7">
                  <c:v>103.67836120614548</c:v>
                </c:pt>
                <c:pt idx="8">
                  <c:v>111.19020803671987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03-4BC0-A5EC-158D35DF0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8212688"/>
        <c:axId val="758217936"/>
      </c:lineChart>
      <c:catAx>
        <c:axId val="75821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8217936"/>
        <c:crosses val="autoZero"/>
        <c:auto val="1"/>
        <c:lblAlgn val="ctr"/>
        <c:lblOffset val="100"/>
        <c:noMultiLvlLbl val="0"/>
      </c:catAx>
      <c:valAx>
        <c:axId val="758217936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821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Homicides </a:t>
            </a:r>
          </a:p>
          <a:p>
            <a:pPr>
              <a:defRPr/>
            </a:pPr>
            <a:r>
              <a:rPr lang="fr-FR"/>
              <a:t>Croissance</a:t>
            </a:r>
            <a:r>
              <a:rPr lang="fr-FR" baseline="0"/>
              <a:t> annuelle moyenne : +1 % par an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'Encadré 2'!$B$5</c:f>
              <c:strCache>
                <c:ptCount val="1"/>
                <c:pt idx="0">
                  <c:v>Homicides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'Encadré 2'!$C$4:$K$4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'Encadré 2'!$C$5:$K$5</c:f>
              <c:numCache>
                <c:formatCode>0</c:formatCode>
                <c:ptCount val="9"/>
                <c:pt idx="0">
                  <c:v>105.92755214050494</c:v>
                </c:pt>
                <c:pt idx="1">
                  <c:v>96.246973365617421</c:v>
                </c:pt>
                <c:pt idx="2">
                  <c:v>96.871239470517452</c:v>
                </c:pt>
                <c:pt idx="3" formatCode="General">
                  <c:v>100</c:v>
                </c:pt>
                <c:pt idx="4">
                  <c:v>96.032672112018673</c:v>
                </c:pt>
                <c:pt idx="5">
                  <c:v>102.9171528588098</c:v>
                </c:pt>
                <c:pt idx="6">
                  <c:v>111.90198366394399</c:v>
                </c:pt>
                <c:pt idx="7">
                  <c:v>116.21936989498249</c:v>
                </c:pt>
                <c:pt idx="8">
                  <c:v>113.88564760793464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A6-4773-BA50-447863FB6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0426080"/>
        <c:axId val="740425424"/>
      </c:lineChart>
      <c:catAx>
        <c:axId val="74042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0425424"/>
        <c:crosses val="autoZero"/>
        <c:auto val="1"/>
        <c:lblAlgn val="ctr"/>
        <c:lblOffset val="100"/>
        <c:noMultiLvlLbl val="0"/>
      </c:catAx>
      <c:valAx>
        <c:axId val="740425424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042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Tentatives d'homicide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fr-FR" sz="1400" b="0" i="0" baseline="0">
                <a:effectLst/>
              </a:rPr>
              <a:t>Croissance annuelle moyenne : +8 % par an</a:t>
            </a:r>
            <a:endParaRPr lang="fr-FR" sz="1100">
              <a:effectLst/>
            </a:endParaRPr>
          </a:p>
        </c:rich>
      </c:tx>
      <c:layout>
        <c:manualLayout>
          <c:xMode val="edge"/>
          <c:yMode val="edge"/>
          <c:x val="0.1693751093613298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'Encadré 2'!$B$7</c:f>
              <c:strCache>
                <c:ptCount val="1"/>
                <c:pt idx="0">
                  <c:v>Tentatives d'homicide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'Encadré 2'!$C$6:$K$6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'Encadré 2'!$C$7:$K$7</c:f>
              <c:numCache>
                <c:formatCode>0</c:formatCode>
                <c:ptCount val="9"/>
                <c:pt idx="0">
                  <c:v>79.681274900398407</c:v>
                </c:pt>
                <c:pt idx="1">
                  <c:v>80.998248686514884</c:v>
                </c:pt>
                <c:pt idx="2">
                  <c:v>90.49153908138598</c:v>
                </c:pt>
                <c:pt idx="3" formatCode="General">
                  <c:v>100</c:v>
                </c:pt>
                <c:pt idx="4">
                  <c:v>114.60632818248713</c:v>
                </c:pt>
                <c:pt idx="5">
                  <c:v>115.37895511405445</c:v>
                </c:pt>
                <c:pt idx="6">
                  <c:v>131.8616629874908</c:v>
                </c:pt>
                <c:pt idx="7">
                  <c:v>147.71891096394407</c:v>
                </c:pt>
                <c:pt idx="8">
                  <c:v>157.8366445916115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6B-46EB-B56C-A7C730062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3064288"/>
        <c:axId val="743067568"/>
      </c:lineChart>
      <c:catAx>
        <c:axId val="74306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3067568"/>
        <c:crosses val="autoZero"/>
        <c:auto val="1"/>
        <c:lblAlgn val="ctr"/>
        <c:lblOffset val="100"/>
        <c:noMultiLvlLbl val="0"/>
      </c:catAx>
      <c:valAx>
        <c:axId val="743067568"/>
        <c:scaling>
          <c:orientation val="minMax"/>
          <c:max val="16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306428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Violences physiques </a:t>
            </a:r>
            <a:r>
              <a:rPr lang="fr-FR" baseline="0"/>
              <a:t> intrafamiliales et hors cadre familial </a:t>
            </a:r>
          </a:p>
          <a:p>
            <a:pPr>
              <a:defRPr/>
            </a:pPr>
            <a:r>
              <a:rPr lang="fr-FR" baseline="0"/>
              <a:t>Croissance annuelle moyenne : +10 % par an violences physiques infrafamiliales ; +3 % hors cadre familial 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29838636176120131"/>
          <c:w val="0.89019685039370078"/>
          <c:h val="0.50879036853829951"/>
        </c:manualLayout>
      </c:layout>
      <c:lineChart>
        <c:grouping val="standard"/>
        <c:varyColors val="0"/>
        <c:ser>
          <c:idx val="0"/>
          <c:order val="0"/>
          <c:tx>
            <c:strRef>
              <c:f>'Encadré 2'!$B$9</c:f>
              <c:strCache>
                <c:ptCount val="1"/>
                <c:pt idx="0">
                  <c:v>Violences physiques intrafamiliales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'Encadré 2'!$C$8:$K$8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'Encadré 2'!$C$9:$K$9</c:f>
              <c:numCache>
                <c:formatCode>0</c:formatCode>
                <c:ptCount val="9"/>
                <c:pt idx="0">
                  <c:v>69.491570096906543</c:v>
                </c:pt>
                <c:pt idx="1">
                  <c:v>73.776607044228228</c:v>
                </c:pt>
                <c:pt idx="2">
                  <c:v>85.040552253590889</c:v>
                </c:pt>
                <c:pt idx="3" formatCode="General">
                  <c:v>100</c:v>
                </c:pt>
                <c:pt idx="4">
                  <c:v>110.2029001117499</c:v>
                </c:pt>
                <c:pt idx="5">
                  <c:v>126.38711240962394</c:v>
                </c:pt>
                <c:pt idx="6">
                  <c:v>145.96286672141963</c:v>
                </c:pt>
                <c:pt idx="7">
                  <c:v>160.3617734573802</c:v>
                </c:pt>
                <c:pt idx="8">
                  <c:v>164.5012319416208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E9-4BFD-ACE3-5FD9BF271D03}"/>
            </c:ext>
          </c:extLst>
        </c:ser>
        <c:ser>
          <c:idx val="1"/>
          <c:order val="1"/>
          <c:tx>
            <c:strRef>
              <c:f>'Encadré 2'!$B$10</c:f>
              <c:strCache>
                <c:ptCount val="1"/>
                <c:pt idx="0">
                  <c:v>Violences physiques hors cadre familial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'Encadré 2'!$C$8:$K$8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'Encadré 2'!$C$10:$K$10</c:f>
              <c:numCache>
                <c:formatCode>0</c:formatCode>
                <c:ptCount val="9"/>
                <c:pt idx="0">
                  <c:v>86.416391857911123</c:v>
                </c:pt>
                <c:pt idx="1">
                  <c:v>91.997975496526934</c:v>
                </c:pt>
                <c:pt idx="2">
                  <c:v>98.562990727738637</c:v>
                </c:pt>
                <c:pt idx="3" formatCode="General">
                  <c:v>100</c:v>
                </c:pt>
                <c:pt idx="4">
                  <c:v>90.847782643590861</c:v>
                </c:pt>
                <c:pt idx="5">
                  <c:v>98.798269853325365</c:v>
                </c:pt>
                <c:pt idx="6">
                  <c:v>107.95102586062946</c:v>
                </c:pt>
                <c:pt idx="7">
                  <c:v>110.90606467042645</c:v>
                </c:pt>
                <c:pt idx="8">
                  <c:v>110.67067422932524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E9-4BFD-ACE3-5FD9BF271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6559712"/>
        <c:axId val="746561680"/>
      </c:lineChart>
      <c:catAx>
        <c:axId val="74655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6561680"/>
        <c:crosses val="autoZero"/>
        <c:auto val="1"/>
        <c:lblAlgn val="ctr"/>
        <c:lblOffset val="100"/>
        <c:noMultiLvlLbl val="0"/>
      </c:catAx>
      <c:valAx>
        <c:axId val="74656168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655971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17629046369204E-2"/>
          <c:y val="0.87511056916497021"/>
          <c:w val="0.95869641294838148"/>
          <c:h val="0.106613139358401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Vols violents avec ou sans arme</a:t>
            </a:r>
          </a:p>
          <a:p>
            <a:pPr>
              <a:defRPr/>
            </a:pPr>
            <a:r>
              <a:rPr lang="fr-FR"/>
              <a:t>Croissance annuelle moyenne :</a:t>
            </a:r>
          </a:p>
          <a:p>
            <a:pPr>
              <a:defRPr/>
            </a:pPr>
            <a:r>
              <a:rPr lang="fr-FR"/>
              <a:t>-3 % pour les vols avec armes</a:t>
            </a:r>
          </a:p>
          <a:p>
            <a:pPr>
              <a:defRPr/>
            </a:pPr>
            <a:r>
              <a:rPr lang="fr-FR"/>
              <a:t>et -8 % vols sans arme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'Encadré 2'!$B$14</c:f>
              <c:strCache>
                <c:ptCount val="1"/>
                <c:pt idx="0">
                  <c:v>Vols avec armes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'Encadré 2'!$C$13:$K$13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'Encadré 2'!$C$14:$K$14</c:f>
              <c:numCache>
                <c:formatCode>0</c:formatCode>
                <c:ptCount val="9"/>
                <c:pt idx="0">
                  <c:v>116.46648941047034</c:v>
                </c:pt>
                <c:pt idx="1">
                  <c:v>109.28009558896744</c:v>
                </c:pt>
                <c:pt idx="2">
                  <c:v>98.766666666666666</c:v>
                </c:pt>
                <c:pt idx="3" formatCode="General">
                  <c:v>100</c:v>
                </c:pt>
                <c:pt idx="4">
                  <c:v>94.073098452420155</c:v>
                </c:pt>
                <c:pt idx="5">
                  <c:v>92.78893645044451</c:v>
                </c:pt>
                <c:pt idx="6">
                  <c:v>94.073098452420155</c:v>
                </c:pt>
                <c:pt idx="7">
                  <c:v>95.258478761936118</c:v>
                </c:pt>
                <c:pt idx="8">
                  <c:v>94.193831632093065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EF-4042-AC50-FF88CE2318EC}"/>
            </c:ext>
          </c:extLst>
        </c:ser>
        <c:ser>
          <c:idx val="1"/>
          <c:order val="1"/>
          <c:tx>
            <c:strRef>
              <c:f>'Encadré 2'!$B$15</c:f>
              <c:strCache>
                <c:ptCount val="1"/>
                <c:pt idx="0">
                  <c:v>Vols violents sans arme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'Encadré 2'!$C$13:$K$13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'Encadré 2'!$C$15:$K$15</c:f>
              <c:numCache>
                <c:formatCode>0</c:formatCode>
                <c:ptCount val="9"/>
                <c:pt idx="0">
                  <c:v>114.63517592182191</c:v>
                </c:pt>
                <c:pt idx="1">
                  <c:v>109.662504746376</c:v>
                </c:pt>
                <c:pt idx="2">
                  <c:v>102.5092802391168</c:v>
                </c:pt>
                <c:pt idx="3" formatCode="General">
                  <c:v>100</c:v>
                </c:pt>
                <c:pt idx="4">
                  <c:v>81.12745704042527</c:v>
                </c:pt>
                <c:pt idx="5">
                  <c:v>76.735072320435165</c:v>
                </c:pt>
                <c:pt idx="6">
                  <c:v>73.494869575967357</c:v>
                </c:pt>
                <c:pt idx="7">
                  <c:v>67.091111385832619</c:v>
                </c:pt>
                <c:pt idx="8">
                  <c:v>59.700828285325748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EF-4042-AC50-FF88CE231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3168592"/>
        <c:axId val="743170560"/>
      </c:lineChart>
      <c:catAx>
        <c:axId val="74316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3170560"/>
        <c:crosses val="autoZero"/>
        <c:auto val="1"/>
        <c:lblAlgn val="ctr"/>
        <c:lblOffset val="100"/>
        <c:noMultiLvlLbl val="0"/>
      </c:catAx>
      <c:valAx>
        <c:axId val="743170560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316859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Vols sans violence contre des personnes</a:t>
            </a:r>
          </a:p>
          <a:p>
            <a:pPr>
              <a:defRPr/>
            </a:pPr>
            <a:r>
              <a:rPr lang="en-US"/>
              <a:t>Croissance annuelle moyenne : -2 % par an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'Encadré 2'!$B$17</c:f>
              <c:strCache>
                <c:ptCount val="1"/>
                <c:pt idx="0">
                  <c:v>Vols sans violence contre des personnes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'Encadré 2'!$C$16:$K$16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'Encadré 2'!$C$17:$K$17</c:f>
              <c:numCache>
                <c:formatCode>0</c:formatCode>
                <c:ptCount val="9"/>
                <c:pt idx="0">
                  <c:v>98.067760869197514</c:v>
                </c:pt>
                <c:pt idx="1">
                  <c:v>98.691375631651866</c:v>
                </c:pt>
                <c:pt idx="2">
                  <c:v>97.120956257371176</c:v>
                </c:pt>
                <c:pt idx="3" formatCode="General">
                  <c:v>100</c:v>
                </c:pt>
                <c:pt idx="4">
                  <c:v>76.237098005376524</c:v>
                </c:pt>
                <c:pt idx="5">
                  <c:v>80.569430154989874</c:v>
                </c:pt>
                <c:pt idx="6">
                  <c:v>91.310029537685438</c:v>
                </c:pt>
                <c:pt idx="7">
                  <c:v>88.79849656499951</c:v>
                </c:pt>
                <c:pt idx="8">
                  <c:v>84.045777881030617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E7-4A2E-9BCD-B36E63F05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0440512"/>
        <c:axId val="740432640"/>
      </c:lineChart>
      <c:catAx>
        <c:axId val="74044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0432640"/>
        <c:crosses val="autoZero"/>
        <c:auto val="1"/>
        <c:lblAlgn val="ctr"/>
        <c:lblOffset val="100"/>
        <c:noMultiLvlLbl val="0"/>
      </c:catAx>
      <c:valAx>
        <c:axId val="740432640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044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Cambriolages de logement </a:t>
            </a:r>
          </a:p>
          <a:p>
            <a:pPr>
              <a:defRPr/>
            </a:pPr>
            <a:r>
              <a:rPr lang="en-US"/>
              <a:t>Croissance annuelle moyenne : -2 % par an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'Encadré 2'!$B$19</c:f>
              <c:strCache>
                <c:ptCount val="1"/>
                <c:pt idx="0">
                  <c:v>Cambriolages de logement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'Encadré 2'!$C$18:$K$18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'Encadré 2'!$C$19:$K$19</c:f>
              <c:numCache>
                <c:formatCode>0</c:formatCode>
                <c:ptCount val="9"/>
                <c:pt idx="0">
                  <c:v>104.9122694234733</c:v>
                </c:pt>
                <c:pt idx="1">
                  <c:v>106.44183178102121</c:v>
                </c:pt>
                <c:pt idx="2">
                  <c:v>100.06587364927348</c:v>
                </c:pt>
                <c:pt idx="3" formatCode="General">
                  <c:v>100</c:v>
                </c:pt>
                <c:pt idx="4">
                  <c:v>79.983182695923702</c:v>
                </c:pt>
                <c:pt idx="5">
                  <c:v>80.237977529039426</c:v>
                </c:pt>
                <c:pt idx="6">
                  <c:v>89.350590084551314</c:v>
                </c:pt>
                <c:pt idx="7">
                  <c:v>91.725294831002998</c:v>
                </c:pt>
                <c:pt idx="8">
                  <c:v>92.180798695180016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BD-445E-9926-A42D8ED29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0445432"/>
        <c:axId val="740445760"/>
      </c:lineChart>
      <c:catAx>
        <c:axId val="740445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0445760"/>
        <c:crosses val="autoZero"/>
        <c:auto val="1"/>
        <c:lblAlgn val="ctr"/>
        <c:lblOffset val="100"/>
        <c:noMultiLvlLbl val="0"/>
      </c:catAx>
      <c:valAx>
        <c:axId val="740445760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0445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Destructions et dégradations volontaires Croissance annuelle moyenne : -2 % par an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'Encadré 2'!$B$21</c:f>
              <c:strCache>
                <c:ptCount val="1"/>
                <c:pt idx="0">
                  <c:v>Destructions et dégradations volontaires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'Encadré 2'!$C$20:$K$20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'Encadré 2'!$C$21:$K$21</c:f>
              <c:numCache>
                <c:formatCode>0</c:formatCode>
                <c:ptCount val="9"/>
                <c:pt idx="0">
                  <c:v>103.79449857556679</c:v>
                </c:pt>
                <c:pt idx="1">
                  <c:v>103.50836472138138</c:v>
                </c:pt>
                <c:pt idx="2">
                  <c:v>100.08205077202317</c:v>
                </c:pt>
                <c:pt idx="3" formatCode="General">
                  <c:v>100</c:v>
                </c:pt>
                <c:pt idx="4">
                  <c:v>85.980855687718773</c:v>
                </c:pt>
                <c:pt idx="5">
                  <c:v>88.051228454353918</c:v>
                </c:pt>
                <c:pt idx="6">
                  <c:v>89.140330795135952</c:v>
                </c:pt>
                <c:pt idx="7">
                  <c:v>91.576834386768184</c:v>
                </c:pt>
                <c:pt idx="8">
                  <c:v>87.733539043447976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32-4CEE-9E19-2FBCE852B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3043296"/>
        <c:axId val="743052152"/>
      </c:lineChart>
      <c:catAx>
        <c:axId val="74304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3052152"/>
        <c:crosses val="autoZero"/>
        <c:auto val="1"/>
        <c:lblAlgn val="ctr"/>
        <c:lblOffset val="100"/>
        <c:noMultiLvlLbl val="0"/>
      </c:catAx>
      <c:valAx>
        <c:axId val="743052152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304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Escroqueries et les fraudes aux moyens de paiement </a:t>
            </a:r>
          </a:p>
          <a:p>
            <a:pPr>
              <a:defRPr/>
            </a:pPr>
            <a:r>
              <a:rPr lang="en-US"/>
              <a:t>Croissance annuelle moyenne : +7 % par an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'Encadré 2'!$B$30</c:f>
              <c:strCache>
                <c:ptCount val="1"/>
                <c:pt idx="0">
                  <c:v>Escroqueries et les fraudes aux moyens de paiement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'Encadré 2'!$C$29:$K$29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'Encadré 2'!$C$30:$K$30</c:f>
              <c:numCache>
                <c:formatCode>0</c:formatCode>
                <c:ptCount val="9"/>
                <c:pt idx="0">
                  <c:v>82.564094389025939</c:v>
                </c:pt>
                <c:pt idx="1">
                  <c:v>85.08749010447336</c:v>
                </c:pt>
                <c:pt idx="2">
                  <c:v>86.701501834036947</c:v>
                </c:pt>
                <c:pt idx="3" formatCode="General">
                  <c:v>100</c:v>
                </c:pt>
                <c:pt idx="4">
                  <c:v>104.51862937736918</c:v>
                </c:pt>
                <c:pt idx="5">
                  <c:v>122.02301565485341</c:v>
                </c:pt>
                <c:pt idx="6">
                  <c:v>132.28435973923283</c:v>
                </c:pt>
                <c:pt idx="7">
                  <c:v>139.70183494022106</c:v>
                </c:pt>
                <c:pt idx="8">
                  <c:v>141.63247576093852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EE-4BA4-B853-1EE64E937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8176280"/>
        <c:axId val="758177264"/>
      </c:lineChart>
      <c:catAx>
        <c:axId val="758176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8177264"/>
        <c:crosses val="autoZero"/>
        <c:auto val="1"/>
        <c:lblAlgn val="ctr"/>
        <c:lblOffset val="100"/>
        <c:noMultiLvlLbl val="0"/>
      </c:catAx>
      <c:valAx>
        <c:axId val="758177264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8176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Violences </a:t>
            </a:r>
            <a:r>
              <a:rPr lang="fr-FR" baseline="0"/>
              <a:t>sexuelles</a:t>
            </a:r>
          </a:p>
          <a:p>
            <a:pPr>
              <a:defRPr/>
            </a:pPr>
            <a:r>
              <a:rPr lang="fr-FR" baseline="0"/>
              <a:t>Croissance annuelle moyenne : +11 % par an violences sexuelles violences sexuelles ; +15 %  viols et tentatives de viol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29838636176120131"/>
          <c:w val="0.89019685039370078"/>
          <c:h val="0.50879036853829951"/>
        </c:manualLayout>
      </c:layout>
      <c:lineChart>
        <c:grouping val="standard"/>
        <c:varyColors val="0"/>
        <c:ser>
          <c:idx val="2"/>
          <c:order val="0"/>
          <c:tx>
            <c:strRef>
              <c:f>'Encadré 2'!$B$11</c:f>
              <c:strCache>
                <c:ptCount val="1"/>
                <c:pt idx="0">
                  <c:v>Violences sexuelles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'Encadré 2'!$C$8:$K$8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'Encadré 2'!$C$11:$K$11</c:f>
              <c:numCache>
                <c:formatCode>0</c:formatCode>
                <c:ptCount val="9"/>
                <c:pt idx="0">
                  <c:v>54.893764567642009</c:v>
                </c:pt>
                <c:pt idx="1">
                  <c:v>67.850814869392849</c:v>
                </c:pt>
                <c:pt idx="2">
                  <c:v>88.355169551814086</c:v>
                </c:pt>
                <c:pt idx="3" formatCode="General">
                  <c:v>100</c:v>
                </c:pt>
                <c:pt idx="4">
                  <c:v>102.33641758154231</c:v>
                </c:pt>
                <c:pt idx="5">
                  <c:v>127.95205033917881</c:v>
                </c:pt>
                <c:pt idx="6">
                  <c:v>140.86739502714758</c:v>
                </c:pt>
                <c:pt idx="7">
                  <c:v>151.441012093616</c:v>
                </c:pt>
                <c:pt idx="8">
                  <c:v>162.5456331558895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C6-4A25-B5F5-407D376DD376}"/>
            </c:ext>
          </c:extLst>
        </c:ser>
        <c:ser>
          <c:idx val="3"/>
          <c:order val="1"/>
          <c:tx>
            <c:strRef>
              <c:f>'Encadré 2'!$B$12</c:f>
              <c:strCache>
                <c:ptCount val="1"/>
                <c:pt idx="0">
                  <c:v>&gt; dont viols et tentatives de viol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'Encadré 2'!$C$8:$K$8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'Encadré 2'!$C$12:$K$12</c:f>
              <c:numCache>
                <c:formatCode>0</c:formatCode>
                <c:ptCount val="9"/>
                <c:pt idx="0">
                  <c:v>41.361575421262778</c:v>
                </c:pt>
                <c:pt idx="1">
                  <c:v>59.997611084567602</c:v>
                </c:pt>
                <c:pt idx="2">
                  <c:v>80.787225386493077</c:v>
                </c:pt>
                <c:pt idx="3" formatCode="General">
                  <c:v>100</c:v>
                </c:pt>
                <c:pt idx="4">
                  <c:v>111.46659841310469</c:v>
                </c:pt>
                <c:pt idx="5">
                  <c:v>148.54961180786623</c:v>
                </c:pt>
                <c:pt idx="6">
                  <c:v>165.82629468475386</c:v>
                </c:pt>
                <c:pt idx="7">
                  <c:v>180.88473679720161</c:v>
                </c:pt>
                <c:pt idx="8">
                  <c:v>196.60011944373349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C6-4A25-B5F5-407D376DD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6559712"/>
        <c:axId val="746561680"/>
      </c:lineChart>
      <c:catAx>
        <c:axId val="74655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6561680"/>
        <c:crosses val="autoZero"/>
        <c:auto val="1"/>
        <c:lblAlgn val="ctr"/>
        <c:lblOffset val="100"/>
        <c:noMultiLvlLbl val="0"/>
      </c:catAx>
      <c:valAx>
        <c:axId val="74656168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655971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17629046369204E-2"/>
          <c:y val="0.87511056916497021"/>
          <c:w val="0.95869641294838148"/>
          <c:h val="0.106613139358401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11" Type="http://schemas.openxmlformats.org/officeDocument/2006/relationships/chart" Target="../charts/chart31.xml"/><Relationship Id="rId5" Type="http://schemas.openxmlformats.org/officeDocument/2006/relationships/chart" Target="../charts/chart25.xml"/><Relationship Id="rId10" Type="http://schemas.openxmlformats.org/officeDocument/2006/relationships/chart" Target="../charts/chart30.xml"/><Relationship Id="rId4" Type="http://schemas.openxmlformats.org/officeDocument/2006/relationships/chart" Target="../charts/chart24.xml"/><Relationship Id="rId9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291353</xdr:colOff>
      <xdr:row>4</xdr:row>
      <xdr:rowOff>40485</xdr:rowOff>
    </xdr:from>
    <xdr:to>
      <xdr:col>16</xdr:col>
      <xdr:colOff>149412</xdr:colOff>
      <xdr:row>18</xdr:row>
      <xdr:rowOff>116685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220414</xdr:colOff>
      <xdr:row>4</xdr:row>
      <xdr:rowOff>43691</xdr:rowOff>
    </xdr:from>
    <xdr:to>
      <xdr:col>8</xdr:col>
      <xdr:colOff>545353</xdr:colOff>
      <xdr:row>18</xdr:row>
      <xdr:rowOff>119891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610837</xdr:colOff>
      <xdr:row>4</xdr:row>
      <xdr:rowOff>19383</xdr:rowOff>
    </xdr:from>
    <xdr:to>
      <xdr:col>12</xdr:col>
      <xdr:colOff>201706</xdr:colOff>
      <xdr:row>18</xdr:row>
      <xdr:rowOff>95583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56029</xdr:colOff>
      <xdr:row>4</xdr:row>
      <xdr:rowOff>78443</xdr:rowOff>
    </xdr:from>
    <xdr:to>
      <xdr:col>12</xdr:col>
      <xdr:colOff>268940</xdr:colOff>
      <xdr:row>34</xdr:row>
      <xdr:rowOff>67237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279755</xdr:colOff>
      <xdr:row>28</xdr:row>
      <xdr:rowOff>28550</xdr:rowOff>
    </xdr:from>
    <xdr:to>
      <xdr:col>8</xdr:col>
      <xdr:colOff>827901</xdr:colOff>
      <xdr:row>28</xdr:row>
      <xdr:rowOff>53996</xdr:rowOff>
    </xdr:to>
    <xdr:cxnSp macro="">
      <xdr:nvCxnSpPr>
        <xdr:cNvPr id="3" name="Connecteur droit 2"/>
        <xdr:cNvCxnSpPr>
          <a:stCxn id="31" idx="0"/>
          <a:endCxn id="28" idx="0"/>
        </xdr:cNvCxnSpPr>
      </xdr:nvCxnSpPr>
      <xdr:spPr>
        <a:xfrm>
          <a:off x="5359755" y="5437256"/>
          <a:ext cx="4881087" cy="25446"/>
        </a:xfrm>
        <a:prstGeom prst="line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400841</xdr:colOff>
      <xdr:row>26</xdr:row>
      <xdr:rowOff>122937</xdr:rowOff>
    </xdr:from>
    <xdr:to>
      <xdr:col>11</xdr:col>
      <xdr:colOff>394539</xdr:colOff>
      <xdr:row>58</xdr:row>
      <xdr:rowOff>150345</xdr:rowOff>
    </xdr:to>
    <xdr:grpSp>
      <xdr:nvGrpSpPr>
        <xdr:cNvPr id="4" name="Groupe 3"/>
        <xdr:cNvGrpSpPr/>
      </xdr:nvGrpSpPr>
      <xdr:grpSpPr>
        <a:xfrm>
          <a:off x="595076" y="5195466"/>
          <a:ext cx="11812169" cy="6003879"/>
          <a:chOff x="1613647" y="3508748"/>
          <a:chExt cx="11899153" cy="5695245"/>
        </a:xfrm>
      </xdr:grpSpPr>
      <xdr:grpSp>
        <xdr:nvGrpSpPr>
          <xdr:cNvPr id="5" name="Groupe 4"/>
          <xdr:cNvGrpSpPr/>
        </xdr:nvGrpSpPr>
        <xdr:grpSpPr>
          <a:xfrm>
            <a:off x="1613647" y="3508748"/>
            <a:ext cx="11899153" cy="4986825"/>
            <a:chOff x="1303586" y="3297572"/>
            <a:chExt cx="10894764" cy="4986642"/>
          </a:xfrm>
        </xdr:grpSpPr>
        <xdr:graphicFrame macro="">
          <xdr:nvGraphicFramePr>
            <xdr:cNvPr id="16" name="Graphique 15"/>
            <xdr:cNvGraphicFramePr/>
          </xdr:nvGraphicFramePr>
          <xdr:xfrm>
            <a:off x="1303586" y="3808094"/>
            <a:ext cx="3949092" cy="445770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graphicFrame macro="">
          <xdr:nvGraphicFramePr>
            <xdr:cNvPr id="17" name="Graphique 16"/>
            <xdr:cNvGraphicFramePr/>
          </xdr:nvGraphicFramePr>
          <xdr:xfrm>
            <a:off x="6116156" y="3808090"/>
            <a:ext cx="1004750" cy="444382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graphicFrame macro="">
          <xdr:nvGraphicFramePr>
            <xdr:cNvPr id="18" name="Graphique 17"/>
            <xdr:cNvGraphicFramePr/>
          </xdr:nvGraphicFramePr>
          <xdr:xfrm>
            <a:off x="6908800" y="3825875"/>
            <a:ext cx="1003800" cy="44323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graphicFrame macro="">
          <xdr:nvGraphicFramePr>
            <xdr:cNvPr id="19" name="Graphique 18"/>
            <xdr:cNvGraphicFramePr/>
          </xdr:nvGraphicFramePr>
          <xdr:xfrm>
            <a:off x="7804150" y="3819525"/>
            <a:ext cx="1041900" cy="44196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20" name="Graphique 19"/>
            <xdr:cNvGraphicFramePr/>
          </xdr:nvGraphicFramePr>
          <xdr:xfrm>
            <a:off x="8699500" y="3784599"/>
            <a:ext cx="1041900" cy="443875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graphicFrame macro="">
          <xdr:nvGraphicFramePr>
            <xdr:cNvPr id="21" name="Graphique 20"/>
            <xdr:cNvGraphicFramePr/>
          </xdr:nvGraphicFramePr>
          <xdr:xfrm>
            <a:off x="9759950" y="3822699"/>
            <a:ext cx="920750" cy="437832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graphicFrame macro="">
          <xdr:nvGraphicFramePr>
            <xdr:cNvPr id="22" name="Graphique 21"/>
            <xdr:cNvGraphicFramePr/>
          </xdr:nvGraphicFramePr>
          <xdr:xfrm>
            <a:off x="10668000" y="3809998"/>
            <a:ext cx="1530350" cy="439048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  <xdr:sp macro="" textlink="">
          <xdr:nvSpPr>
            <xdr:cNvPr id="23" name="ZoneTexte 22"/>
            <xdr:cNvSpPr txBox="1"/>
          </xdr:nvSpPr>
          <xdr:spPr>
            <a:xfrm>
              <a:off x="3866065" y="3547120"/>
              <a:ext cx="1133475" cy="26670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fr-FR" sz="1000"/>
                <a:t>Femmes</a:t>
              </a:r>
            </a:p>
          </xdr:txBody>
        </xdr:sp>
        <xdr:sp macro="" textlink="">
          <xdr:nvSpPr>
            <xdr:cNvPr id="24" name="ZoneTexte 23"/>
            <xdr:cNvSpPr txBox="1"/>
          </xdr:nvSpPr>
          <xdr:spPr>
            <a:xfrm>
              <a:off x="5881375" y="3566797"/>
              <a:ext cx="1358900" cy="425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fr-FR" sz="1000"/>
                <a:t>10-17 ans </a:t>
              </a:r>
            </a:p>
          </xdr:txBody>
        </xdr:sp>
        <xdr:sp macro="" textlink="">
          <xdr:nvSpPr>
            <xdr:cNvPr id="25" name="ZoneTexte 24"/>
            <xdr:cNvSpPr txBox="1"/>
          </xdr:nvSpPr>
          <xdr:spPr>
            <a:xfrm>
              <a:off x="7076210" y="3577586"/>
              <a:ext cx="717550" cy="2730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fr-FR" sz="1000"/>
                <a:t>18 - 29 ans</a:t>
              </a:r>
            </a:p>
          </xdr:txBody>
        </xdr:sp>
        <xdr:sp macro="" textlink="">
          <xdr:nvSpPr>
            <xdr:cNvPr id="26" name="ZoneTexte 25"/>
            <xdr:cNvSpPr txBox="1"/>
          </xdr:nvSpPr>
          <xdr:spPr>
            <a:xfrm>
              <a:off x="7932002" y="3576315"/>
              <a:ext cx="723900" cy="2730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30</a:t>
              </a:r>
              <a:r>
                <a:rPr lang="fr-FR" sz="10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- 44 ans</a:t>
              </a:r>
              <a:endParaRPr lang="fr-FR" sz="1000">
                <a:effectLst/>
              </a:endParaRPr>
            </a:p>
          </xdr:txBody>
        </xdr:sp>
        <xdr:sp macro="" textlink="">
          <xdr:nvSpPr>
            <xdr:cNvPr id="27" name="ZoneTexte 26"/>
            <xdr:cNvSpPr txBox="1"/>
          </xdr:nvSpPr>
          <xdr:spPr>
            <a:xfrm>
              <a:off x="8823750" y="3581400"/>
              <a:ext cx="723900" cy="2730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45 - 59 ans</a:t>
              </a:r>
              <a:endParaRPr lang="fr-FR" sz="1000">
                <a:effectLst/>
              </a:endParaRPr>
            </a:p>
          </xdr:txBody>
        </xdr:sp>
        <xdr:sp macro="" textlink="">
          <xdr:nvSpPr>
            <xdr:cNvPr id="28" name="ZoneTexte 27"/>
            <xdr:cNvSpPr txBox="1"/>
          </xdr:nvSpPr>
          <xdr:spPr>
            <a:xfrm>
              <a:off x="9617502" y="3586493"/>
              <a:ext cx="1165401" cy="33377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fr-FR" sz="1000"/>
                <a:t>60 ans ou plus</a:t>
              </a:r>
            </a:p>
          </xdr:txBody>
        </xdr:sp>
        <xdr:sp macro="" textlink="">
          <xdr:nvSpPr>
            <xdr:cNvPr id="29" name="ZoneTexte 28"/>
            <xdr:cNvSpPr txBox="1"/>
          </xdr:nvSpPr>
          <xdr:spPr>
            <a:xfrm>
              <a:off x="10592139" y="3561079"/>
              <a:ext cx="1301750" cy="2730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fr-FR" sz="1000"/>
                <a:t>Étrangers</a:t>
              </a:r>
            </a:p>
          </xdr:txBody>
        </xdr:sp>
        <xdr:sp macro="" textlink="">
          <xdr:nvSpPr>
            <xdr:cNvPr id="30" name="ZoneTexte 29"/>
            <xdr:cNvSpPr txBox="1"/>
          </xdr:nvSpPr>
          <xdr:spPr>
            <a:xfrm>
              <a:off x="7488046" y="3297572"/>
              <a:ext cx="787400" cy="22860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fr-FR" sz="1100"/>
                <a:t>Âge</a:t>
              </a:r>
            </a:p>
          </xdr:txBody>
        </xdr:sp>
        <xdr:sp macro="" textlink="">
          <xdr:nvSpPr>
            <xdr:cNvPr id="31" name="ZoneTexte 30"/>
            <xdr:cNvSpPr txBox="1"/>
          </xdr:nvSpPr>
          <xdr:spPr>
            <a:xfrm>
              <a:off x="5018761" y="3562356"/>
              <a:ext cx="1358900" cy="425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fr-FR" sz="1000"/>
                <a:t>Moins</a:t>
              </a:r>
              <a:r>
                <a:rPr lang="fr-FR" sz="1000" baseline="0"/>
                <a:t> de 10 ans</a:t>
              </a:r>
              <a:endParaRPr lang="fr-FR" sz="1000"/>
            </a:p>
          </xdr:txBody>
        </xdr:sp>
        <xdr:graphicFrame macro="">
          <xdr:nvGraphicFramePr>
            <xdr:cNvPr id="32" name="Graphique 31"/>
            <xdr:cNvGraphicFramePr>
              <a:graphicFrameLocks/>
            </xdr:cNvGraphicFramePr>
          </xdr:nvGraphicFramePr>
          <xdr:xfrm>
            <a:off x="5172694" y="3842389"/>
            <a:ext cx="1004750" cy="44418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</xdr:grpSp>
      <xdr:grpSp>
        <xdr:nvGrpSpPr>
          <xdr:cNvPr id="6" name="Groupe 5"/>
          <xdr:cNvGrpSpPr/>
        </xdr:nvGrpSpPr>
        <xdr:grpSpPr>
          <a:xfrm>
            <a:off x="2634125" y="8643746"/>
            <a:ext cx="10292015" cy="551849"/>
            <a:chOff x="2736850" y="8001000"/>
            <a:chExt cx="9836150" cy="533400"/>
          </a:xfrm>
        </xdr:grpSpPr>
        <xdr:sp macro="" textlink="">
          <xdr:nvSpPr>
            <xdr:cNvPr id="9" name="ZoneTexte 8"/>
            <xdr:cNvSpPr txBox="1"/>
          </xdr:nvSpPr>
          <xdr:spPr>
            <a:xfrm>
              <a:off x="8502650" y="8001000"/>
              <a:ext cx="781050" cy="49530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fr-FR" sz="1200" b="1">
                  <a:solidFill>
                    <a:schemeClr val="accent4"/>
                  </a:solidFill>
                </a:rPr>
                <a:t>18 %</a:t>
              </a:r>
            </a:p>
          </xdr:txBody>
        </xdr:sp>
        <xdr:sp macro="" textlink="">
          <xdr:nvSpPr>
            <xdr:cNvPr id="10" name="ZoneTexte 9"/>
            <xdr:cNvSpPr txBox="1"/>
          </xdr:nvSpPr>
          <xdr:spPr>
            <a:xfrm>
              <a:off x="9417050" y="8007350"/>
              <a:ext cx="819150" cy="5016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fr-FR" sz="1200" b="1">
                  <a:solidFill>
                    <a:schemeClr val="accent5"/>
                  </a:solidFill>
                </a:rPr>
                <a:t>19 %</a:t>
              </a:r>
            </a:p>
          </xdr:txBody>
        </xdr:sp>
        <xdr:sp macro="" textlink="">
          <xdr:nvSpPr>
            <xdr:cNvPr id="11" name="ZoneTexte 10"/>
            <xdr:cNvSpPr txBox="1"/>
          </xdr:nvSpPr>
          <xdr:spPr>
            <a:xfrm>
              <a:off x="10509250" y="8007350"/>
              <a:ext cx="819150" cy="5016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fr-FR" sz="1200" b="1">
                  <a:solidFill>
                    <a:schemeClr val="accent6"/>
                  </a:solidFill>
                </a:rPr>
                <a:t>28 %</a:t>
              </a:r>
            </a:p>
          </xdr:txBody>
        </xdr:sp>
        <xdr:sp macro="" textlink="">
          <xdr:nvSpPr>
            <xdr:cNvPr id="12" name="ZoneTexte 11"/>
            <xdr:cNvSpPr txBox="1"/>
          </xdr:nvSpPr>
          <xdr:spPr>
            <a:xfrm>
              <a:off x="11753850" y="8001000"/>
              <a:ext cx="819150" cy="5016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fr-FR" sz="1200" b="1">
                  <a:solidFill>
                    <a:srgbClr val="996600"/>
                  </a:solidFill>
                </a:rPr>
                <a:t>8 %</a:t>
              </a:r>
            </a:p>
          </xdr:txBody>
        </xdr:sp>
        <xdr:sp macro="" textlink="">
          <xdr:nvSpPr>
            <xdr:cNvPr id="13" name="ZoneTexte 12"/>
            <xdr:cNvSpPr txBox="1"/>
          </xdr:nvSpPr>
          <xdr:spPr>
            <a:xfrm>
              <a:off x="2736850" y="8089900"/>
              <a:ext cx="1619250" cy="44450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r"/>
              <a:r>
                <a:rPr lang="fr-FR" sz="1100" b="1"/>
                <a:t>Part dans la population</a:t>
              </a:r>
              <a:r>
                <a:rPr lang="fr-FR" sz="1100" b="1" baseline="0"/>
                <a:t> en France</a:t>
              </a:r>
              <a:endParaRPr lang="fr-FR" sz="1100" b="1"/>
            </a:p>
          </xdr:txBody>
        </xdr:sp>
        <xdr:sp macro="" textlink="">
          <xdr:nvSpPr>
            <xdr:cNvPr id="14" name="ZoneTexte 13"/>
            <xdr:cNvSpPr txBox="1"/>
          </xdr:nvSpPr>
          <xdr:spPr>
            <a:xfrm>
              <a:off x="4420112" y="8032750"/>
              <a:ext cx="933450" cy="49530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fr-FR" sz="1200" b="1">
                  <a:solidFill>
                    <a:schemeClr val="accent1">
                      <a:lumMod val="75000"/>
                    </a:schemeClr>
                  </a:solidFill>
                </a:rPr>
                <a:t>52 %</a:t>
              </a:r>
            </a:p>
          </xdr:txBody>
        </xdr:sp>
        <xdr:sp macro="" textlink="">
          <xdr:nvSpPr>
            <xdr:cNvPr id="15" name="ZoneTexte 14"/>
            <xdr:cNvSpPr txBox="1"/>
          </xdr:nvSpPr>
          <xdr:spPr>
            <a:xfrm>
              <a:off x="7632700" y="8013700"/>
              <a:ext cx="755650" cy="49530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fr-FR" sz="1200" b="1">
                  <a:solidFill>
                    <a:schemeClr val="accent3"/>
                  </a:solidFill>
                </a:rPr>
                <a:t>14 %</a:t>
              </a:r>
            </a:p>
          </xdr:txBody>
        </xdr:sp>
      </xdr:grpSp>
      <xdr:sp macro="" textlink="">
        <xdr:nvSpPr>
          <xdr:cNvPr id="7" name="ZoneTexte 6"/>
          <xdr:cNvSpPr txBox="1"/>
        </xdr:nvSpPr>
        <xdr:spPr>
          <a:xfrm>
            <a:off x="5810250" y="8691562"/>
            <a:ext cx="790671" cy="51243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FR" sz="1200" b="1">
                <a:solidFill>
                  <a:schemeClr val="accent1"/>
                </a:solidFill>
              </a:rPr>
              <a:t>10%</a:t>
            </a:r>
          </a:p>
        </xdr:txBody>
      </xdr:sp>
      <xdr:sp macro="" textlink="">
        <xdr:nvSpPr>
          <xdr:cNvPr id="8" name="ZoneTexte 7"/>
          <xdr:cNvSpPr txBox="1"/>
        </xdr:nvSpPr>
        <xdr:spPr>
          <a:xfrm>
            <a:off x="6834187" y="8679657"/>
            <a:ext cx="790671" cy="51243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FR" sz="1200" b="1">
                <a:solidFill>
                  <a:schemeClr val="accent2"/>
                </a:solidFill>
              </a:rPr>
              <a:t>10 %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376626</xdr:colOff>
      <xdr:row>53</xdr:row>
      <xdr:rowOff>121444</xdr:rowOff>
    </xdr:from>
    <xdr:to>
      <xdr:col>11</xdr:col>
      <xdr:colOff>176465</xdr:colOff>
      <xdr:row>56</xdr:row>
      <xdr:rowOff>68945</xdr:rowOff>
    </xdr:to>
    <xdr:sp macro="" textlink="">
      <xdr:nvSpPr>
        <xdr:cNvPr id="3" name="ZoneTexte 2"/>
        <xdr:cNvSpPr txBox="1"/>
      </xdr:nvSpPr>
      <xdr:spPr>
        <a:xfrm>
          <a:off x="11978076" y="9894094"/>
          <a:ext cx="847589" cy="4999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200" b="1">
              <a:solidFill>
                <a:srgbClr val="996600"/>
              </a:solidFill>
            </a:rPr>
            <a:t>8 %</a:t>
          </a:r>
        </a:p>
      </xdr:txBody>
    </xdr:sp>
    <xdr:clientData/>
  </xdr:twoCellAnchor>
  <xdr:twoCellAnchor>
    <xdr:from>
      <xdr:col>1</xdr:col>
      <xdr:colOff>154668</xdr:colOff>
      <xdr:row>27</xdr:row>
      <xdr:rowOff>121557</xdr:rowOff>
    </xdr:from>
    <xdr:to>
      <xdr:col>11</xdr:col>
      <xdr:colOff>245495</xdr:colOff>
      <xdr:row>58</xdr:row>
      <xdr:rowOff>83997</xdr:rowOff>
    </xdr:to>
    <xdr:grpSp>
      <xdr:nvGrpSpPr>
        <xdr:cNvPr id="4" name="Groupe 3"/>
        <xdr:cNvGrpSpPr/>
      </xdr:nvGrpSpPr>
      <xdr:grpSpPr>
        <a:xfrm>
          <a:off x="399597" y="5128986"/>
          <a:ext cx="12772684" cy="5586725"/>
          <a:chOff x="733426" y="4902200"/>
          <a:chExt cx="11725824" cy="5849797"/>
        </a:xfrm>
      </xdr:grpSpPr>
      <xdr:grpSp>
        <xdr:nvGrpSpPr>
          <xdr:cNvPr id="5" name="Groupe 4"/>
          <xdr:cNvGrpSpPr/>
        </xdr:nvGrpSpPr>
        <xdr:grpSpPr>
          <a:xfrm>
            <a:off x="733426" y="4902200"/>
            <a:ext cx="11725824" cy="5435600"/>
            <a:chOff x="1" y="4013200"/>
            <a:chExt cx="12259224" cy="5251450"/>
          </a:xfrm>
        </xdr:grpSpPr>
        <xdr:grpSp>
          <xdr:nvGrpSpPr>
            <xdr:cNvPr id="14" name="Groupe 13"/>
            <xdr:cNvGrpSpPr/>
          </xdr:nvGrpSpPr>
          <xdr:grpSpPr>
            <a:xfrm>
              <a:off x="1" y="4305300"/>
              <a:ext cx="12259224" cy="4959350"/>
              <a:chOff x="1" y="4470400"/>
              <a:chExt cx="12259224" cy="4794250"/>
            </a:xfrm>
          </xdr:grpSpPr>
          <xdr:grpSp>
            <xdr:nvGrpSpPr>
              <xdr:cNvPr id="17" name="Groupe 16"/>
              <xdr:cNvGrpSpPr/>
            </xdr:nvGrpSpPr>
            <xdr:grpSpPr>
              <a:xfrm>
                <a:off x="4991100" y="4487836"/>
                <a:ext cx="6170217" cy="4746749"/>
                <a:chOff x="3350105" y="3484987"/>
                <a:chExt cx="4004978" cy="4905875"/>
              </a:xfrm>
            </xdr:grpSpPr>
            <xdr:graphicFrame macro="">
              <xdr:nvGraphicFramePr>
                <xdr:cNvPr id="20" name="Graphique 19"/>
                <xdr:cNvGraphicFramePr/>
              </xdr:nvGraphicFramePr>
              <xdr:xfrm>
                <a:off x="3350105" y="3799834"/>
                <a:ext cx="701009" cy="456303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"/>
                </a:graphicData>
              </a:graphic>
            </xdr:graphicFrame>
            <xdr:graphicFrame macro="">
              <xdr:nvGraphicFramePr>
                <xdr:cNvPr id="21" name="Graphique 20"/>
                <xdr:cNvGraphicFramePr/>
              </xdr:nvGraphicFramePr>
              <xdr:xfrm>
                <a:off x="4726147" y="3910127"/>
                <a:ext cx="701009" cy="446482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2"/>
                </a:graphicData>
              </a:graphic>
            </xdr:graphicFrame>
            <xdr:graphicFrame macro="">
              <xdr:nvGraphicFramePr>
                <xdr:cNvPr id="22" name="Graphique 21"/>
                <xdr:cNvGraphicFramePr/>
              </xdr:nvGraphicFramePr>
              <xdr:xfrm>
                <a:off x="5402294" y="3924898"/>
                <a:ext cx="701009" cy="446482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3"/>
                </a:graphicData>
              </a:graphic>
            </xdr:graphicFrame>
            <xdr:graphicFrame macro="">
              <xdr:nvGraphicFramePr>
                <xdr:cNvPr id="23" name="Graphique 22"/>
                <xdr:cNvGraphicFramePr/>
              </xdr:nvGraphicFramePr>
              <xdr:xfrm>
                <a:off x="6024066" y="3926042"/>
                <a:ext cx="701009" cy="446482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  <xdr:graphicFrame macro="">
              <xdr:nvGraphicFramePr>
                <xdr:cNvPr id="24" name="Graphique 23"/>
                <xdr:cNvGraphicFramePr/>
              </xdr:nvGraphicFramePr>
              <xdr:xfrm>
                <a:off x="6654074" y="3755733"/>
                <a:ext cx="701009" cy="4571048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  <xdr:sp macro="" textlink="">
              <xdr:nvSpPr>
                <xdr:cNvPr id="25" name="ZoneTexte 24"/>
                <xdr:cNvSpPr txBox="1"/>
              </xdr:nvSpPr>
              <xdr:spPr>
                <a:xfrm>
                  <a:off x="4059031" y="3549824"/>
                  <a:ext cx="556426" cy="42545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fr-FR" sz="1000"/>
                    <a:t>13-17</a:t>
                  </a:r>
                  <a:r>
                    <a:rPr lang="fr-FR" sz="1000" baseline="0"/>
                    <a:t> </a:t>
                  </a:r>
                  <a:r>
                    <a:rPr lang="fr-FR" sz="1000"/>
                    <a:t>ans</a:t>
                  </a:r>
                </a:p>
                <a:p>
                  <a:pPr algn="ctr"/>
                  <a:endParaRPr lang="fr-FR" sz="1000"/>
                </a:p>
              </xdr:txBody>
            </xdr:sp>
            <xdr:sp macro="" textlink="">
              <xdr:nvSpPr>
                <xdr:cNvPr id="26" name="ZoneTexte 25"/>
                <xdr:cNvSpPr txBox="1"/>
              </xdr:nvSpPr>
              <xdr:spPr>
                <a:xfrm>
                  <a:off x="4658099" y="3571410"/>
                  <a:ext cx="764683" cy="27305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fr-FR" sz="1000"/>
                    <a:t>18 - 29 ans</a:t>
                  </a:r>
                </a:p>
              </xdr:txBody>
            </xdr:sp>
            <xdr:sp macro="" textlink="">
              <xdr:nvSpPr>
                <xdr:cNvPr id="27" name="ZoneTexte 26"/>
                <xdr:cNvSpPr txBox="1"/>
              </xdr:nvSpPr>
              <xdr:spPr>
                <a:xfrm>
                  <a:off x="5478483" y="3555631"/>
                  <a:ext cx="539852" cy="27305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fr-FR" sz="100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30</a:t>
                  </a:r>
                  <a:r>
                    <a:rPr lang="fr-FR" sz="1000" baseline="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- 44 ans</a:t>
                  </a:r>
                  <a:endParaRPr lang="fr-FR" sz="1000">
                    <a:effectLst/>
                  </a:endParaRPr>
                </a:p>
              </xdr:txBody>
            </xdr:sp>
            <xdr:sp macro="" textlink="">
              <xdr:nvSpPr>
                <xdr:cNvPr id="28" name="ZoneTexte 27"/>
                <xdr:cNvSpPr txBox="1"/>
              </xdr:nvSpPr>
              <xdr:spPr>
                <a:xfrm>
                  <a:off x="6113501" y="3567171"/>
                  <a:ext cx="583527" cy="273050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fr-FR" sz="100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45 - 59 ans</a:t>
                  </a:r>
                  <a:endParaRPr lang="fr-FR" sz="1000">
                    <a:effectLst/>
                  </a:endParaRPr>
                </a:p>
              </xdr:txBody>
            </xdr:sp>
            <xdr:sp macro="" textlink="">
              <xdr:nvSpPr>
                <xdr:cNvPr id="29" name="ZoneTexte 28"/>
                <xdr:cNvSpPr txBox="1"/>
              </xdr:nvSpPr>
              <xdr:spPr>
                <a:xfrm>
                  <a:off x="6659807" y="3587013"/>
                  <a:ext cx="615544" cy="392112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fr-FR" sz="1000"/>
                    <a:t>60 ans ou plus</a:t>
                  </a:r>
                </a:p>
              </xdr:txBody>
            </xdr:sp>
            <xdr:sp macro="" textlink="">
              <xdr:nvSpPr>
                <xdr:cNvPr id="30" name="ZoneTexte 29"/>
                <xdr:cNvSpPr txBox="1"/>
              </xdr:nvSpPr>
              <xdr:spPr>
                <a:xfrm>
                  <a:off x="3448977" y="3484987"/>
                  <a:ext cx="568840" cy="461068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lang="fr-FR" sz="1000"/>
                    <a:t>Moins</a:t>
                  </a:r>
                  <a:r>
                    <a:rPr lang="fr-FR" sz="1000" baseline="0"/>
                    <a:t> de 13 ans</a:t>
                  </a:r>
                  <a:endParaRPr lang="fr-FR" sz="1000"/>
                </a:p>
              </xdr:txBody>
            </xdr:sp>
            <xdr:graphicFrame macro="">
              <xdr:nvGraphicFramePr>
                <xdr:cNvPr id="31" name="Graphique 30"/>
                <xdr:cNvGraphicFramePr>
                  <a:graphicFrameLocks/>
                </xdr:cNvGraphicFramePr>
              </xdr:nvGraphicFramePr>
              <xdr:xfrm>
                <a:off x="4015282" y="3858263"/>
                <a:ext cx="701009" cy="4524295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6"/>
                </a:graphicData>
              </a:graphic>
            </xdr:graphicFrame>
          </xdr:grpSp>
          <xdr:graphicFrame macro="">
            <xdr:nvGraphicFramePr>
              <xdr:cNvPr id="18" name="Graphique 17"/>
              <xdr:cNvGraphicFramePr/>
            </xdr:nvGraphicFramePr>
            <xdr:xfrm>
              <a:off x="1" y="4508500"/>
              <a:ext cx="4796987" cy="475615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7"/>
              </a:graphicData>
            </a:graphic>
          </xdr:graphicFrame>
          <xdr:graphicFrame macro="">
            <xdr:nvGraphicFramePr>
              <xdr:cNvPr id="19" name="Graphique 18"/>
              <xdr:cNvGraphicFramePr/>
            </xdr:nvGraphicFramePr>
            <xdr:xfrm>
              <a:off x="11071225" y="4470400"/>
              <a:ext cx="1188000" cy="475615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8"/>
              </a:graphicData>
            </a:graphic>
          </xdr:graphicFrame>
        </xdr:grpSp>
        <xdr:cxnSp macro="">
          <xdr:nvCxnSpPr>
            <xdr:cNvPr id="15" name="Connecteur droit 14"/>
            <xdr:cNvCxnSpPr>
              <a:stCxn id="30" idx="0"/>
            </xdr:cNvCxnSpPr>
          </xdr:nvCxnSpPr>
          <xdr:spPr>
            <a:xfrm>
              <a:off x="5581614" y="4323336"/>
              <a:ext cx="4978436" cy="7364"/>
            </a:xfrm>
            <a:prstGeom prst="line">
              <a:avLst/>
            </a:prstGeom>
            <a:ln>
              <a:solidFill>
                <a:schemeClr val="accent3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" name="ZoneTexte 15"/>
            <xdr:cNvSpPr txBox="1"/>
          </xdr:nvSpPr>
          <xdr:spPr>
            <a:xfrm>
              <a:off x="7753350" y="4013200"/>
              <a:ext cx="666750" cy="25400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fr-FR" sz="1100"/>
                <a:t>Âge</a:t>
              </a:r>
            </a:p>
          </xdr:txBody>
        </xdr:sp>
      </xdr:grpSp>
      <xdr:sp macro="" textlink="">
        <xdr:nvSpPr>
          <xdr:cNvPr id="6" name="ZoneTexte 5"/>
          <xdr:cNvSpPr txBox="1"/>
        </xdr:nvSpPr>
        <xdr:spPr>
          <a:xfrm>
            <a:off x="8499996" y="10229850"/>
            <a:ext cx="817248" cy="51243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FR" sz="1200" b="1">
                <a:solidFill>
                  <a:schemeClr val="accent4"/>
                </a:solidFill>
              </a:rPr>
              <a:t>18 %</a:t>
            </a:r>
          </a:p>
        </xdr:txBody>
      </xdr:sp>
      <xdr:sp macro="" textlink="">
        <xdr:nvSpPr>
          <xdr:cNvPr id="7" name="ZoneTexte 6"/>
          <xdr:cNvSpPr txBox="1"/>
        </xdr:nvSpPr>
        <xdr:spPr>
          <a:xfrm>
            <a:off x="9456775" y="10198320"/>
            <a:ext cx="857114" cy="51900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FR" sz="1200" b="1">
                <a:solidFill>
                  <a:schemeClr val="accent5"/>
                </a:solidFill>
              </a:rPr>
              <a:t>19 %</a:t>
            </a:r>
          </a:p>
        </xdr:txBody>
      </xdr:sp>
      <xdr:sp macro="" textlink="">
        <xdr:nvSpPr>
          <xdr:cNvPr id="8" name="ZoneTexte 7"/>
          <xdr:cNvSpPr txBox="1"/>
        </xdr:nvSpPr>
        <xdr:spPr>
          <a:xfrm>
            <a:off x="10456719" y="10207845"/>
            <a:ext cx="857114" cy="51900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FR" sz="1200" b="1">
                <a:solidFill>
                  <a:schemeClr val="accent6"/>
                </a:solidFill>
              </a:rPr>
              <a:t>28 %</a:t>
            </a:r>
          </a:p>
        </xdr:txBody>
      </xdr:sp>
      <xdr:sp macro="" textlink="">
        <xdr:nvSpPr>
          <xdr:cNvPr id="9" name="ZoneTexte 8"/>
          <xdr:cNvSpPr txBox="1"/>
        </xdr:nvSpPr>
        <xdr:spPr>
          <a:xfrm>
            <a:off x="2466975" y="10283725"/>
            <a:ext cx="1694296" cy="4598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fr-FR" sz="1100" b="1"/>
              <a:t>Part dans la population</a:t>
            </a:r>
            <a:r>
              <a:rPr lang="fr-FR" sz="1100" b="1" baseline="0"/>
              <a:t> en France</a:t>
            </a:r>
            <a:endParaRPr lang="fr-FR" sz="1100" b="1"/>
          </a:p>
        </xdr:txBody>
      </xdr:sp>
      <xdr:sp macro="" textlink="">
        <xdr:nvSpPr>
          <xdr:cNvPr id="10" name="ZoneTexte 9"/>
          <xdr:cNvSpPr txBox="1"/>
        </xdr:nvSpPr>
        <xdr:spPr>
          <a:xfrm>
            <a:off x="4228249" y="10224598"/>
            <a:ext cx="976712" cy="51243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FR" sz="1200" b="1">
                <a:solidFill>
                  <a:schemeClr val="accent1">
                    <a:lumMod val="75000"/>
                  </a:schemeClr>
                </a:solidFill>
              </a:rPr>
              <a:t>52 %</a:t>
            </a:r>
          </a:p>
        </xdr:txBody>
      </xdr:sp>
      <xdr:sp macro="" textlink="">
        <xdr:nvSpPr>
          <xdr:cNvPr id="11" name="ZoneTexte 10"/>
          <xdr:cNvSpPr txBox="1"/>
        </xdr:nvSpPr>
        <xdr:spPr>
          <a:xfrm>
            <a:off x="7589727" y="10204889"/>
            <a:ext cx="790671" cy="51243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FR" sz="1200" b="1">
                <a:solidFill>
                  <a:schemeClr val="accent3"/>
                </a:solidFill>
              </a:rPr>
              <a:t>14 %</a:t>
            </a:r>
          </a:p>
        </xdr:txBody>
      </xdr:sp>
      <xdr:sp macro="" textlink="">
        <xdr:nvSpPr>
          <xdr:cNvPr id="12" name="ZoneTexte 11"/>
          <xdr:cNvSpPr txBox="1"/>
        </xdr:nvSpPr>
        <xdr:spPr>
          <a:xfrm>
            <a:off x="5643100" y="10239566"/>
            <a:ext cx="790671" cy="51243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FR" sz="1200" b="1">
                <a:solidFill>
                  <a:schemeClr val="accent1"/>
                </a:solidFill>
              </a:rPr>
              <a:t>14%</a:t>
            </a:r>
          </a:p>
        </xdr:txBody>
      </xdr:sp>
      <xdr:sp macro="" textlink="">
        <xdr:nvSpPr>
          <xdr:cNvPr id="13" name="ZoneTexte 12"/>
          <xdr:cNvSpPr txBox="1"/>
        </xdr:nvSpPr>
        <xdr:spPr>
          <a:xfrm>
            <a:off x="6667037" y="10227661"/>
            <a:ext cx="790671" cy="51243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FR" sz="1200" b="1">
                <a:solidFill>
                  <a:schemeClr val="accent2"/>
                </a:solidFill>
              </a:rPr>
              <a:t>6 %</a:t>
            </a:r>
          </a:p>
        </xdr:txBody>
      </xdr:sp>
    </xdr:grp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0.77864</cdr:x>
      <cdr:y>0.01202</cdr:y>
    </cdr:from>
    <cdr:to>
      <cdr:x>0.95626</cdr:x>
      <cdr:y>0.05741</cdr:y>
    </cdr:to>
    <cdr:sp macro="" textlink="">
      <cdr:nvSpPr>
        <cdr:cNvPr id="2" name="ZoneTexte 19"/>
        <cdr:cNvSpPr txBox="1"/>
      </cdr:nvSpPr>
      <cdr:spPr>
        <a:xfrm xmlns:a="http://schemas.openxmlformats.org/drawingml/2006/main">
          <a:off x="3841750" y="57151"/>
          <a:ext cx="876376" cy="2159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000"/>
            <a:t>Femmes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0.08552</cdr:x>
      <cdr:y>0.01869</cdr:y>
    </cdr:from>
    <cdr:to>
      <cdr:x>0.88378</cdr:x>
      <cdr:y>0.09846</cdr:y>
    </cdr:to>
    <cdr:sp macro="" textlink="">
      <cdr:nvSpPr>
        <cdr:cNvPr id="2" name="ZoneTexte 16"/>
        <cdr:cNvSpPr txBox="1"/>
      </cdr:nvSpPr>
      <cdr:spPr>
        <a:xfrm xmlns:a="http://schemas.openxmlformats.org/drawingml/2006/main">
          <a:off x="101600" y="88900"/>
          <a:ext cx="948330" cy="37939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000"/>
            <a:t>Étrangers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656614</xdr:colOff>
      <xdr:row>35</xdr:row>
      <xdr:rowOff>103841</xdr:rowOff>
    </xdr:from>
    <xdr:to>
      <xdr:col>7</xdr:col>
      <xdr:colOff>768757</xdr:colOff>
      <xdr:row>139</xdr:row>
      <xdr:rowOff>94148</xdr:rowOff>
    </xdr:to>
    <xdr:grpSp>
      <xdr:nvGrpSpPr>
        <xdr:cNvPr id="14" name="Groupe 13"/>
        <xdr:cNvGrpSpPr/>
      </xdr:nvGrpSpPr>
      <xdr:grpSpPr>
        <a:xfrm>
          <a:off x="193064" y="6952770"/>
          <a:ext cx="9084693" cy="18858878"/>
          <a:chOff x="656757" y="6881023"/>
          <a:chExt cx="9244472" cy="19205020"/>
        </a:xfrm>
      </xdr:grpSpPr>
      <xdr:graphicFrame macro="">
        <xdr:nvGraphicFramePr>
          <xdr:cNvPr id="9" name="Graphique 8"/>
          <xdr:cNvGraphicFramePr/>
        </xdr:nvGraphicFramePr>
        <xdr:xfrm>
          <a:off x="5321464" y="19609615"/>
          <a:ext cx="4575396" cy="348815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0" name="Graphique 9"/>
          <xdr:cNvGraphicFramePr/>
        </xdr:nvGraphicFramePr>
        <xdr:xfrm>
          <a:off x="663194" y="19647878"/>
          <a:ext cx="4572679" cy="350309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pSp>
        <xdr:nvGrpSpPr>
          <xdr:cNvPr id="13" name="Groupe 12"/>
          <xdr:cNvGrpSpPr/>
        </xdr:nvGrpSpPr>
        <xdr:grpSpPr>
          <a:xfrm>
            <a:off x="656757" y="6881023"/>
            <a:ext cx="9244472" cy="19205020"/>
            <a:chOff x="656757" y="6881023"/>
            <a:chExt cx="9244472" cy="19205020"/>
          </a:xfrm>
        </xdr:grpSpPr>
        <xdr:grpSp>
          <xdr:nvGrpSpPr>
            <xdr:cNvPr id="12" name="Groupe 11"/>
            <xdr:cNvGrpSpPr/>
          </xdr:nvGrpSpPr>
          <xdr:grpSpPr>
            <a:xfrm>
              <a:off x="677122" y="6881023"/>
              <a:ext cx="9224107" cy="12798821"/>
              <a:chOff x="677122" y="6881023"/>
              <a:chExt cx="9224107" cy="12798821"/>
            </a:xfrm>
          </xdr:grpSpPr>
          <xdr:graphicFrame macro="">
            <xdr:nvGraphicFramePr>
              <xdr:cNvPr id="2" name="Graphique 1"/>
              <xdr:cNvGraphicFramePr/>
            </xdr:nvGraphicFramePr>
            <xdr:xfrm>
              <a:off x="713442" y="6888494"/>
              <a:ext cx="4572000" cy="271263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"/>
              </a:graphicData>
            </a:graphic>
          </xdr:graphicFrame>
          <xdr:graphicFrame macro="">
            <xdr:nvGraphicFramePr>
              <xdr:cNvPr id="3" name="Graphique 2"/>
              <xdr:cNvGraphicFramePr/>
            </xdr:nvGraphicFramePr>
            <xdr:xfrm>
              <a:off x="5307853" y="6881023"/>
              <a:ext cx="4575396" cy="271263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"/>
              </a:graphicData>
            </a:graphic>
          </xdr:graphicFrame>
          <xdr:graphicFrame macro="">
            <xdr:nvGraphicFramePr>
              <xdr:cNvPr id="4" name="Graphique 3"/>
              <xdr:cNvGraphicFramePr/>
            </xdr:nvGraphicFramePr>
            <xdr:xfrm>
              <a:off x="705972" y="9666873"/>
              <a:ext cx="4572000" cy="3760491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5"/>
              </a:graphicData>
            </a:graphic>
          </xdr:graphicFrame>
          <xdr:graphicFrame macro="">
            <xdr:nvGraphicFramePr>
              <xdr:cNvPr id="5" name="Graphique 4"/>
              <xdr:cNvGraphicFramePr/>
            </xdr:nvGraphicFramePr>
            <xdr:xfrm>
              <a:off x="677122" y="13500520"/>
              <a:ext cx="4575396" cy="3595228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  <xdr:graphicFrame macro="">
            <xdr:nvGraphicFramePr>
              <xdr:cNvPr id="6" name="Graphique 5"/>
              <xdr:cNvGraphicFramePr/>
            </xdr:nvGraphicFramePr>
            <xdr:xfrm>
              <a:off x="5329229" y="13486382"/>
              <a:ext cx="4572000" cy="3424612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7"/>
              </a:graphicData>
            </a:graphic>
          </xdr:graphicFrame>
          <xdr:graphicFrame macro="">
            <xdr:nvGraphicFramePr>
              <xdr:cNvPr id="7" name="Graphique 6"/>
              <xdr:cNvGraphicFramePr/>
            </xdr:nvGraphicFramePr>
            <xdr:xfrm>
              <a:off x="5324841" y="16966662"/>
              <a:ext cx="4575396" cy="2713182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8"/>
              </a:graphicData>
            </a:graphic>
          </xdr:graphicFrame>
        </xdr:grpSp>
        <xdr:graphicFrame macro="">
          <xdr:nvGraphicFramePr>
            <xdr:cNvPr id="8" name="Graphique 7"/>
            <xdr:cNvGraphicFramePr/>
          </xdr:nvGraphicFramePr>
          <xdr:xfrm>
            <a:off x="695123" y="16931082"/>
            <a:ext cx="4572679" cy="271263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xdr:graphicFrame macro="">
          <xdr:nvGraphicFramePr>
            <xdr:cNvPr id="11" name="Graphique 10"/>
            <xdr:cNvGraphicFramePr/>
          </xdr:nvGraphicFramePr>
          <xdr:xfrm>
            <a:off x="656757" y="23344268"/>
            <a:ext cx="4575396" cy="27417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</xdr:grpSp>
    </xdr:grpSp>
    <xdr:clientData/>
  </xdr:twoCellAnchor>
  <xdr:twoCellAnchor>
    <xdr:from>
      <xdr:col>2</xdr:col>
      <xdr:colOff>126999</xdr:colOff>
      <xdr:row>50</xdr:row>
      <xdr:rowOff>117928</xdr:rowOff>
    </xdr:from>
    <xdr:to>
      <xdr:col>8</xdr:col>
      <xdr:colOff>1482</xdr:colOff>
      <xdr:row>71</xdr:row>
      <xdr:rowOff>642</xdr:rowOff>
    </xdr:to>
    <xdr:graphicFrame macro="">
      <xdr:nvGraphicFramePr>
        <xdr:cNvPr id="16" name="Graphique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3-Analyses/1-Bilans/2024/Bilan%20d&#233;finitif%202024/25_Retour%20Drapeau%20Blanc/V2/Eclairage%201/(fichier%20diffusion%20def%202024)%20&#201;clairage_delais_depot_plaint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3-Analyses/1-Bilans/2024/Bilan_provisoire_2024/Compilation/Victimes%20et%20Mis%20en%20cause%202024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1"/>
      <sheetName val="Figure 2"/>
      <sheetName val="Figure 3"/>
      <sheetName val="Figure 4"/>
      <sheetName val="Figure 5"/>
      <sheetName val="Figure 6"/>
      <sheetName val="Figure 7"/>
      <sheetName val="Figure 8"/>
      <sheetName val="Figure 9"/>
      <sheetName val="Figure 10"/>
      <sheetName val="Figure 11"/>
    </sheetNames>
    <sheetDataSet>
      <sheetData sheetId="0"/>
      <sheetData sheetId="1"/>
      <sheetData sheetId="2">
        <row r="42">
          <cell r="C42" t="str">
            <v>2016</v>
          </cell>
          <cell r="D42" t="str">
            <v>2017</v>
          </cell>
          <cell r="E42" t="str">
            <v>2018</v>
          </cell>
          <cell r="F42" t="str">
            <v>2019</v>
          </cell>
          <cell r="G42" t="str">
            <v>2020</v>
          </cell>
          <cell r="H42" t="str">
            <v>2021</v>
          </cell>
          <cell r="I42" t="str">
            <v>2022</v>
          </cell>
          <cell r="J42" t="str">
            <v>2023</v>
          </cell>
          <cell r="K42" t="str">
            <v>2024</v>
          </cell>
        </row>
        <row r="49">
          <cell r="B49" t="str">
            <v>Plus de 5 ans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17"/>
      <sheetName val="Figure_17 données diff"/>
      <sheetName val="Figure 18"/>
      <sheetName val="Figure 18 données diffusées"/>
      <sheetName val="Figure complémentaire 1"/>
    </sheetNames>
    <sheetDataSet>
      <sheetData sheetId="0">
        <row r="4">
          <cell r="C4" t="str">
            <v>Femmes</v>
          </cell>
        </row>
        <row r="5">
          <cell r="L5">
            <v>7.5073112812871043</v>
          </cell>
        </row>
        <row r="6">
          <cell r="L6">
            <v>8.7785573868098368</v>
          </cell>
        </row>
        <row r="7">
          <cell r="L7">
            <v>7.852364213629663</v>
          </cell>
        </row>
        <row r="8">
          <cell r="L8">
            <v>12.229483112339128</v>
          </cell>
        </row>
        <row r="9">
          <cell r="L9">
            <v>10.37491339269676</v>
          </cell>
        </row>
        <row r="10">
          <cell r="L10">
            <v>6.1589675771809027</v>
          </cell>
        </row>
        <row r="11">
          <cell r="L11">
            <v>16.094890448956299</v>
          </cell>
        </row>
        <row r="12">
          <cell r="L12">
            <v>18.853692172677505</v>
          </cell>
        </row>
        <row r="13">
          <cell r="L13">
            <v>20.578249917862227</v>
          </cell>
        </row>
        <row r="14">
          <cell r="L14">
            <v>8.516934508380853</v>
          </cell>
        </row>
        <row r="15">
          <cell r="L15">
            <v>7.0728325585188809</v>
          </cell>
        </row>
        <row r="16">
          <cell r="L16">
            <v>15.646423933233647</v>
          </cell>
        </row>
        <row r="17">
          <cell r="L17">
            <v>16.083776970834236</v>
          </cell>
        </row>
        <row r="18">
          <cell r="L18">
            <v>21.556329849012776</v>
          </cell>
        </row>
        <row r="19">
          <cell r="L19">
            <v>19.509703779366699</v>
          </cell>
        </row>
      </sheetData>
      <sheetData sheetId="1"/>
      <sheetData sheetId="2">
        <row r="4">
          <cell r="E4" t="str">
            <v>Moins de 13 ans</v>
          </cell>
          <cell r="G4" t="str">
            <v>18 à 29 ans</v>
          </cell>
          <cell r="H4" t="str">
            <v>30 à 44 ans</v>
          </cell>
          <cell r="J4" t="str">
            <v>60 ans ou plus</v>
          </cell>
          <cell r="L4" t="str">
            <v>Etrangers</v>
          </cell>
        </row>
        <row r="5">
          <cell r="B5" t="str">
            <v>Escroqueries et fraudes aux moyens de paiement</v>
          </cell>
        </row>
        <row r="6">
          <cell r="B6" t="str">
            <v>Trafic de stupéfiants</v>
          </cell>
        </row>
        <row r="7">
          <cell r="B7" t="str">
            <v>Usage de stupéfiants</v>
          </cell>
          <cell r="F7">
            <v>5.0462839233217522</v>
          </cell>
        </row>
        <row r="8">
          <cell r="B8" t="str">
            <v>Destructions et dégradations volontaires</v>
          </cell>
          <cell r="F8">
            <v>18.856965630022273</v>
          </cell>
        </row>
        <row r="9">
          <cell r="B9" t="str">
            <v>Vols d'accessoires sur véhicules</v>
          </cell>
          <cell r="F9">
            <v>14.751511964238759</v>
          </cell>
        </row>
        <row r="10">
          <cell r="B10" t="str">
            <v>Vols dans les véhicules</v>
          </cell>
          <cell r="F10">
            <v>18.21161825726141</v>
          </cell>
        </row>
        <row r="11">
          <cell r="B11" t="str">
            <v>Vols de véhicule</v>
          </cell>
          <cell r="F11">
            <v>28.160440293529021</v>
          </cell>
        </row>
        <row r="12">
          <cell r="B12" t="str">
            <v>Cambriolages de logement</v>
          </cell>
          <cell r="F12">
            <v>21.4858748244108</v>
          </cell>
        </row>
        <row r="13">
          <cell r="B13" t="str">
            <v>Vols sans violence contre des personnes</v>
          </cell>
          <cell r="F13">
            <v>15.557210540493433</v>
          </cell>
        </row>
        <row r="14">
          <cell r="B14" t="str">
            <v>Vols violents sans arme</v>
          </cell>
          <cell r="F14">
            <v>35.126433171038165</v>
          </cell>
        </row>
        <row r="15">
          <cell r="B15" t="str">
            <v>Vols avec armes</v>
          </cell>
          <cell r="F15">
            <v>30.799840827695981</v>
          </cell>
        </row>
        <row r="16">
          <cell r="B16" t="str">
            <v xml:space="preserve">  dont viols et tentatives de viol</v>
          </cell>
          <cell r="F16">
            <v>20.610450077599587</v>
          </cell>
        </row>
        <row r="17">
          <cell r="B17" t="str">
            <v xml:space="preserve">Violences sexuelles </v>
          </cell>
          <cell r="F17">
            <v>17.980779933954214</v>
          </cell>
        </row>
        <row r="18">
          <cell r="B18" t="str">
            <v xml:space="preserve">  dont CBV intrafamiliaux </v>
          </cell>
          <cell r="F18">
            <v>2.2637782893660918</v>
          </cell>
        </row>
        <row r="19">
          <cell r="B19" t="str">
            <v>CBV sur personne de 15 ans ou plus</v>
          </cell>
          <cell r="F19">
            <v>7.8167410226811835</v>
          </cell>
        </row>
        <row r="20">
          <cell r="B20" t="str">
            <v>Tentatives d'homicide</v>
          </cell>
          <cell r="F20">
            <v>12.96461492714838</v>
          </cell>
        </row>
        <row r="21">
          <cell r="B21" t="str">
            <v>Homicides</v>
          </cell>
          <cell r="F21">
            <v>8.2638888888888893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Thème Office">
  <a:themeElements>
    <a:clrScheme name="Personnalisé 1">
      <a:dk1>
        <a:sysClr val="windowText" lastClr="000000"/>
      </a:dk1>
      <a:lt1>
        <a:sysClr val="window" lastClr="FFFFFF"/>
      </a:lt1>
      <a:dk2>
        <a:srgbClr val="2F4077"/>
      </a:dk2>
      <a:lt2>
        <a:srgbClr val="CE614A"/>
      </a:lt2>
      <a:accent1>
        <a:srgbClr val="465F9D"/>
      </a:accent1>
      <a:accent2>
        <a:srgbClr val="FFCA00"/>
      </a:accent2>
      <a:accent3>
        <a:srgbClr val="AEA397"/>
      </a:accent3>
      <a:accent4>
        <a:srgbClr val="C3992A"/>
      </a:accent4>
      <a:accent5>
        <a:srgbClr val="34CB6A"/>
      </a:accent5>
      <a:accent6>
        <a:srgbClr val="2B7758"/>
      </a:accent6>
      <a:hlink>
        <a:srgbClr val="000000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25"/>
  <sheetViews>
    <sheetView zoomScaleNormal="100" workbookViewId="0">
      <selection activeCell="I32" sqref="I32"/>
    </sheetView>
  </sheetViews>
  <sheetFormatPr baseColWidth="10" defaultRowHeight="14.5" x14ac:dyDescent="0.35"/>
  <cols>
    <col min="1" max="1" width="2.54296875" style="1" customWidth="1"/>
    <col min="2" max="2" width="33.54296875" customWidth="1"/>
    <col min="11" max="30" width="10.90625" style="1"/>
  </cols>
  <sheetData>
    <row r="1" spans="1:30" s="1" customFormat="1" x14ac:dyDescent="0.35"/>
    <row r="2" spans="1:30" s="1" customFormat="1" x14ac:dyDescent="0.35">
      <c r="B2" s="104" t="s">
        <v>132</v>
      </c>
    </row>
    <row r="3" spans="1:30" s="1" customFormat="1" ht="15" thickBot="1" x14ac:dyDescent="0.4"/>
    <row r="4" spans="1:30" ht="36.5" thickBot="1" x14ac:dyDescent="0.4">
      <c r="B4" s="3"/>
      <c r="C4" s="83" t="s">
        <v>135</v>
      </c>
      <c r="D4" s="38" t="s">
        <v>17</v>
      </c>
      <c r="E4" s="85" t="s">
        <v>69</v>
      </c>
      <c r="F4" s="86"/>
      <c r="G4" s="86"/>
      <c r="H4" s="86"/>
      <c r="I4" s="86"/>
      <c r="J4" s="87"/>
    </row>
    <row r="5" spans="1:30" ht="15" thickBot="1" x14ac:dyDescent="0.4">
      <c r="B5" s="4"/>
      <c r="C5" s="84"/>
      <c r="D5" s="49">
        <v>2024</v>
      </c>
      <c r="E5" s="5">
        <v>2024</v>
      </c>
      <c r="F5" s="5">
        <v>2023</v>
      </c>
      <c r="G5" s="5">
        <v>2022</v>
      </c>
      <c r="H5" s="5">
        <v>2021</v>
      </c>
      <c r="I5" s="5">
        <v>2020</v>
      </c>
      <c r="J5" s="5">
        <v>2019</v>
      </c>
    </row>
    <row r="6" spans="1:30" x14ac:dyDescent="0.35">
      <c r="B6" s="6" t="s">
        <v>39</v>
      </c>
      <c r="C6" s="7" t="s">
        <v>0</v>
      </c>
      <c r="D6" s="8">
        <v>976</v>
      </c>
      <c r="E6" s="43">
        <v>-2</v>
      </c>
      <c r="F6" s="43">
        <v>4</v>
      </c>
      <c r="G6" s="43">
        <v>9</v>
      </c>
      <c r="H6" s="43">
        <v>7</v>
      </c>
      <c r="I6" s="43">
        <v>-4</v>
      </c>
      <c r="J6" s="43">
        <v>3</v>
      </c>
    </row>
    <row r="7" spans="1:30" x14ac:dyDescent="0.35">
      <c r="B7" s="40" t="s">
        <v>15</v>
      </c>
      <c r="C7" s="41" t="s">
        <v>0</v>
      </c>
      <c r="D7" s="42">
        <v>4290</v>
      </c>
      <c r="E7" s="44">
        <v>7</v>
      </c>
      <c r="F7" s="44">
        <v>12</v>
      </c>
      <c r="G7" s="44">
        <v>14</v>
      </c>
      <c r="H7" s="44">
        <v>1</v>
      </c>
      <c r="I7" s="44">
        <v>15</v>
      </c>
      <c r="J7" s="44">
        <v>10</v>
      </c>
    </row>
    <row r="8" spans="1:30" s="22" customFormat="1" x14ac:dyDescent="0.35">
      <c r="A8" s="1"/>
      <c r="B8" s="40" t="s">
        <v>46</v>
      </c>
      <c r="C8" s="41" t="s">
        <v>0</v>
      </c>
      <c r="D8" s="81">
        <v>449800</v>
      </c>
      <c r="E8" s="44">
        <v>1.2861765295300476</v>
      </c>
      <c r="F8" s="44">
        <v>6.4412604977566401</v>
      </c>
      <c r="G8" s="44">
        <v>12.412672667656356</v>
      </c>
      <c r="H8" s="44">
        <v>11.674389216512226</v>
      </c>
      <c r="I8" s="44">
        <v>-0.54908062658028944</v>
      </c>
      <c r="J8" s="44">
        <v>7.0331641231764497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35">
      <c r="B9" s="82" t="s">
        <v>133</v>
      </c>
      <c r="C9" s="37" t="s">
        <v>0</v>
      </c>
      <c r="D9" s="8">
        <v>244400</v>
      </c>
      <c r="E9" s="43">
        <v>3</v>
      </c>
      <c r="F9" s="43">
        <v>10</v>
      </c>
      <c r="G9" s="43">
        <v>15</v>
      </c>
      <c r="H9" s="43">
        <v>15</v>
      </c>
      <c r="I9" s="43">
        <v>10</v>
      </c>
      <c r="J9" s="43">
        <v>15</v>
      </c>
    </row>
    <row r="10" spans="1:30" x14ac:dyDescent="0.35">
      <c r="B10" s="82" t="s">
        <v>134</v>
      </c>
      <c r="C10" s="41" t="s">
        <v>0</v>
      </c>
      <c r="D10" s="42">
        <v>205500</v>
      </c>
      <c r="E10" s="44">
        <v>0</v>
      </c>
      <c r="F10" s="44">
        <v>3</v>
      </c>
      <c r="G10" s="44">
        <v>9</v>
      </c>
      <c r="H10" s="44">
        <v>9</v>
      </c>
      <c r="I10" s="44">
        <v>-9</v>
      </c>
      <c r="J10" s="44">
        <v>1</v>
      </c>
    </row>
    <row r="11" spans="1:30" x14ac:dyDescent="0.35">
      <c r="B11" s="6" t="s">
        <v>1</v>
      </c>
      <c r="C11" s="88" t="s">
        <v>0</v>
      </c>
      <c r="D11" s="11">
        <v>122400</v>
      </c>
      <c r="E11" s="45">
        <v>7</v>
      </c>
      <c r="F11" s="45">
        <v>8</v>
      </c>
      <c r="G11" s="45">
        <v>10</v>
      </c>
      <c r="H11" s="45">
        <v>25</v>
      </c>
      <c r="I11" s="45">
        <v>2</v>
      </c>
      <c r="J11" s="45">
        <v>12</v>
      </c>
    </row>
    <row r="12" spans="1:30" x14ac:dyDescent="0.35">
      <c r="B12" s="12" t="s">
        <v>62</v>
      </c>
      <c r="C12" s="88"/>
      <c r="D12" s="13">
        <v>46100</v>
      </c>
      <c r="E12" s="46">
        <v>9</v>
      </c>
      <c r="F12" s="46">
        <v>9</v>
      </c>
      <c r="G12" s="46">
        <v>12</v>
      </c>
      <c r="H12" s="46">
        <v>33</v>
      </c>
      <c r="I12" s="46">
        <v>11</v>
      </c>
      <c r="J12" s="46">
        <v>19</v>
      </c>
    </row>
    <row r="13" spans="1:30" x14ac:dyDescent="0.35">
      <c r="B13" s="9" t="s">
        <v>40</v>
      </c>
      <c r="C13" s="39" t="s">
        <v>2</v>
      </c>
      <c r="D13" s="10">
        <v>8600</v>
      </c>
      <c r="E13" s="47">
        <v>-1</v>
      </c>
      <c r="F13" s="47">
        <v>1</v>
      </c>
      <c r="G13" s="47">
        <v>1</v>
      </c>
      <c r="H13" s="47">
        <v>-1</v>
      </c>
      <c r="I13" s="47">
        <v>-6</v>
      </c>
      <c r="J13" s="47">
        <v>1</v>
      </c>
    </row>
    <row r="14" spans="1:30" x14ac:dyDescent="0.35">
      <c r="B14" s="6" t="s">
        <v>3</v>
      </c>
      <c r="C14" s="37" t="s">
        <v>2</v>
      </c>
      <c r="D14" s="11">
        <v>48300</v>
      </c>
      <c r="E14" s="45">
        <v>-11</v>
      </c>
      <c r="F14" s="45">
        <v>-9</v>
      </c>
      <c r="G14" s="45">
        <v>-4</v>
      </c>
      <c r="H14" s="45">
        <v>-5</v>
      </c>
      <c r="I14" s="45">
        <v>-19</v>
      </c>
      <c r="J14" s="45">
        <v>-3</v>
      </c>
    </row>
    <row r="15" spans="1:30" ht="24" x14ac:dyDescent="0.35">
      <c r="B15" s="9" t="s">
        <v>4</v>
      </c>
      <c r="C15" s="39" t="s">
        <v>5</v>
      </c>
      <c r="D15" s="10">
        <v>607800</v>
      </c>
      <c r="E15" s="47">
        <v>-5</v>
      </c>
      <c r="F15" s="47">
        <v>-3</v>
      </c>
      <c r="G15" s="47">
        <v>13</v>
      </c>
      <c r="H15" s="47">
        <v>6</v>
      </c>
      <c r="I15" s="47">
        <v>-24</v>
      </c>
      <c r="J15" s="47">
        <v>3</v>
      </c>
    </row>
    <row r="16" spans="1:30" x14ac:dyDescent="0.35">
      <c r="B16" s="6" t="s">
        <v>20</v>
      </c>
      <c r="C16" s="37" t="s">
        <v>2</v>
      </c>
      <c r="D16" s="11">
        <v>218200</v>
      </c>
      <c r="E16" s="45">
        <v>0</v>
      </c>
      <c r="F16" s="45">
        <v>3</v>
      </c>
      <c r="G16" s="45">
        <v>11</v>
      </c>
      <c r="H16" s="45">
        <v>0</v>
      </c>
      <c r="I16" s="45">
        <v>-20</v>
      </c>
      <c r="J16" s="45">
        <v>0</v>
      </c>
    </row>
    <row r="17" spans="2:10" x14ac:dyDescent="0.35">
      <c r="B17" s="9" t="s">
        <v>66</v>
      </c>
      <c r="C17" s="39" t="s">
        <v>6</v>
      </c>
      <c r="D17" s="10">
        <v>137600</v>
      </c>
      <c r="E17" s="47">
        <v>-2</v>
      </c>
      <c r="F17" s="47">
        <v>5</v>
      </c>
      <c r="G17" s="47">
        <v>9</v>
      </c>
      <c r="H17" s="47">
        <v>0</v>
      </c>
      <c r="I17" s="47">
        <v>-13</v>
      </c>
      <c r="J17" s="47">
        <v>-2</v>
      </c>
    </row>
    <row r="18" spans="2:10" x14ac:dyDescent="0.35">
      <c r="B18" s="6" t="s">
        <v>7</v>
      </c>
      <c r="C18" s="37" t="s">
        <v>6</v>
      </c>
      <c r="D18" s="11">
        <v>256100</v>
      </c>
      <c r="E18" s="45">
        <v>1</v>
      </c>
      <c r="F18" s="45">
        <v>4</v>
      </c>
      <c r="G18" s="45">
        <v>9</v>
      </c>
      <c r="H18" s="45">
        <v>1</v>
      </c>
      <c r="I18" s="45">
        <v>-17</v>
      </c>
      <c r="J18" s="45">
        <v>0</v>
      </c>
    </row>
    <row r="19" spans="2:10" x14ac:dyDescent="0.35">
      <c r="B19" s="9" t="s">
        <v>8</v>
      </c>
      <c r="C19" s="39" t="s">
        <v>6</v>
      </c>
      <c r="D19" s="10">
        <v>96100</v>
      </c>
      <c r="E19" s="47">
        <v>4</v>
      </c>
      <c r="F19" s="47">
        <v>-9</v>
      </c>
      <c r="G19" s="47">
        <v>30</v>
      </c>
      <c r="H19" s="47">
        <v>4</v>
      </c>
      <c r="I19" s="47">
        <v>-18</v>
      </c>
      <c r="J19" s="47">
        <v>-5</v>
      </c>
    </row>
    <row r="20" spans="2:10" x14ac:dyDescent="0.35">
      <c r="B20" s="6" t="s">
        <v>9</v>
      </c>
      <c r="C20" s="37" t="s">
        <v>2</v>
      </c>
      <c r="D20" s="11">
        <v>528800</v>
      </c>
      <c r="E20" s="45">
        <v>-4</v>
      </c>
      <c r="F20" s="45">
        <v>3</v>
      </c>
      <c r="G20" s="45">
        <v>1</v>
      </c>
      <c r="H20" s="45">
        <v>2</v>
      </c>
      <c r="I20" s="45">
        <v>-14</v>
      </c>
      <c r="J20" s="45">
        <v>0</v>
      </c>
    </row>
    <row r="21" spans="2:10" x14ac:dyDescent="0.35">
      <c r="B21" s="9" t="s">
        <v>10</v>
      </c>
      <c r="C21" s="39" t="s">
        <v>11</v>
      </c>
      <c r="D21" s="10">
        <v>290500</v>
      </c>
      <c r="E21" s="47">
        <v>11</v>
      </c>
      <c r="F21" s="47">
        <v>4</v>
      </c>
      <c r="G21" s="47">
        <v>14</v>
      </c>
      <c r="H21" s="47">
        <v>38</v>
      </c>
      <c r="I21" s="47">
        <v>-9</v>
      </c>
      <c r="J21" s="47">
        <v>-5</v>
      </c>
    </row>
    <row r="22" spans="2:10" x14ac:dyDescent="0.35">
      <c r="B22" s="6" t="s">
        <v>12</v>
      </c>
      <c r="C22" s="37" t="s">
        <v>11</v>
      </c>
      <c r="D22" s="11">
        <v>52300</v>
      </c>
      <c r="E22" s="45">
        <v>7</v>
      </c>
      <c r="F22" s="45">
        <v>0</v>
      </c>
      <c r="G22" s="45">
        <v>5</v>
      </c>
      <c r="H22" s="45">
        <v>13</v>
      </c>
      <c r="I22" s="45">
        <v>-12</v>
      </c>
      <c r="J22" s="45">
        <v>3</v>
      </c>
    </row>
    <row r="23" spans="2:10" ht="15" thickBot="1" x14ac:dyDescent="0.4">
      <c r="B23" s="14" t="s">
        <v>18</v>
      </c>
      <c r="C23" s="15" t="s">
        <v>0</v>
      </c>
      <c r="D23" s="16">
        <v>417300</v>
      </c>
      <c r="E23" s="48">
        <v>1</v>
      </c>
      <c r="F23" s="48">
        <v>6</v>
      </c>
      <c r="G23" s="48">
        <v>8</v>
      </c>
      <c r="H23" s="48">
        <v>17</v>
      </c>
      <c r="I23" s="48">
        <v>5</v>
      </c>
      <c r="J23" s="48">
        <v>13</v>
      </c>
    </row>
    <row r="24" spans="2:10" s="1" customFormat="1" x14ac:dyDescent="0.35">
      <c r="B24" s="106" t="s">
        <v>138</v>
      </c>
    </row>
    <row r="25" spans="2:10" s="1" customFormat="1" x14ac:dyDescent="0.35">
      <c r="B25" s="105" t="s">
        <v>139</v>
      </c>
    </row>
    <row r="26" spans="2:10" s="1" customFormat="1" x14ac:dyDescent="0.35">
      <c r="B26" s="106" t="s">
        <v>136</v>
      </c>
    </row>
    <row r="27" spans="2:10" s="1" customFormat="1" x14ac:dyDescent="0.35">
      <c r="B27" s="107" t="s">
        <v>137</v>
      </c>
    </row>
    <row r="28" spans="2:10" s="1" customFormat="1" x14ac:dyDescent="0.35"/>
    <row r="29" spans="2:10" s="1" customFormat="1" x14ac:dyDescent="0.35"/>
    <row r="30" spans="2:10" s="1" customFormat="1" x14ac:dyDescent="0.35"/>
    <row r="31" spans="2:10" s="1" customFormat="1" x14ac:dyDescent="0.35"/>
    <row r="32" spans="2:10" s="1" customFormat="1" x14ac:dyDescent="0.35"/>
    <row r="33" spans="2:10" s="1" customFormat="1" x14ac:dyDescent="0.35"/>
    <row r="34" spans="2:10" s="1" customFormat="1" x14ac:dyDescent="0.35"/>
    <row r="35" spans="2:10" s="1" customFormat="1" x14ac:dyDescent="0.35"/>
    <row r="36" spans="2:10" s="1" customFormat="1" x14ac:dyDescent="0.35"/>
    <row r="37" spans="2:10" s="1" customFormat="1" x14ac:dyDescent="0.35"/>
    <row r="38" spans="2:10" x14ac:dyDescent="0.35">
      <c r="B38" s="1"/>
      <c r="C38" s="1"/>
      <c r="D38" s="1"/>
      <c r="E38" s="1"/>
      <c r="F38" s="1"/>
      <c r="G38" s="1"/>
      <c r="H38" s="1"/>
      <c r="I38" s="1"/>
      <c r="J38" s="1"/>
    </row>
    <row r="39" spans="2:10" x14ac:dyDescent="0.35">
      <c r="B39" s="1"/>
      <c r="C39" s="1"/>
      <c r="D39" s="1"/>
      <c r="E39" s="1"/>
      <c r="F39" s="1"/>
      <c r="G39" s="1"/>
      <c r="H39" s="1"/>
      <c r="I39" s="1"/>
      <c r="J39" s="1"/>
    </row>
    <row r="40" spans="2:10" x14ac:dyDescent="0.35">
      <c r="B40" s="1"/>
      <c r="C40" s="1"/>
      <c r="D40" s="1"/>
      <c r="E40" s="1"/>
      <c r="F40" s="1"/>
      <c r="G40" s="1"/>
      <c r="H40" s="1"/>
      <c r="I40" s="1"/>
      <c r="J40" s="1"/>
    </row>
    <row r="41" spans="2:10" x14ac:dyDescent="0.35">
      <c r="B41" s="1"/>
      <c r="C41" s="1"/>
      <c r="D41" s="1"/>
      <c r="E41" s="1"/>
      <c r="F41" s="1"/>
      <c r="G41" s="1"/>
      <c r="H41" s="1"/>
      <c r="I41" s="1"/>
      <c r="J41" s="1"/>
    </row>
    <row r="42" spans="2:10" x14ac:dyDescent="0.35">
      <c r="B42" s="1"/>
      <c r="C42" s="1"/>
      <c r="D42" s="1"/>
      <c r="E42" s="1"/>
      <c r="F42" s="1"/>
      <c r="G42" s="1"/>
      <c r="H42" s="1"/>
      <c r="I42" s="1"/>
      <c r="J42" s="1"/>
    </row>
    <row r="43" spans="2:10" x14ac:dyDescent="0.35">
      <c r="B43" s="1"/>
      <c r="C43" s="1"/>
      <c r="D43" s="1"/>
      <c r="E43" s="1"/>
      <c r="F43" s="1"/>
      <c r="G43" s="1"/>
      <c r="H43" s="1"/>
      <c r="I43" s="1"/>
      <c r="J43" s="1"/>
    </row>
    <row r="44" spans="2:10" x14ac:dyDescent="0.35">
      <c r="B44" s="1"/>
      <c r="C44" s="1"/>
      <c r="D44" s="1"/>
      <c r="E44" s="1"/>
      <c r="F44" s="1"/>
      <c r="G44" s="1"/>
      <c r="H44" s="1"/>
      <c r="I44" s="1"/>
      <c r="J44" s="1"/>
    </row>
    <row r="45" spans="2:10" x14ac:dyDescent="0.35">
      <c r="B45" s="1"/>
      <c r="C45" s="1"/>
      <c r="D45" s="1"/>
      <c r="E45" s="1"/>
      <c r="F45" s="1"/>
      <c r="G45" s="1"/>
      <c r="H45" s="1"/>
      <c r="I45" s="1"/>
      <c r="J45" s="1"/>
    </row>
    <row r="46" spans="2:10" x14ac:dyDescent="0.35">
      <c r="B46" s="1"/>
      <c r="C46" s="1"/>
      <c r="D46" s="1"/>
      <c r="E46" s="1"/>
      <c r="F46" s="1"/>
      <c r="G46" s="1"/>
      <c r="H46" s="1"/>
      <c r="I46" s="1"/>
      <c r="J46" s="1"/>
    </row>
    <row r="47" spans="2:10" x14ac:dyDescent="0.35">
      <c r="B47" s="1"/>
      <c r="C47" s="1"/>
      <c r="D47" s="1"/>
      <c r="E47" s="1"/>
      <c r="F47" s="1"/>
      <c r="G47" s="1"/>
      <c r="H47" s="1"/>
      <c r="I47" s="1"/>
      <c r="J47" s="1"/>
    </row>
    <row r="48" spans="2:10" x14ac:dyDescent="0.35">
      <c r="B48" s="1"/>
      <c r="C48" s="1"/>
      <c r="D48" s="1"/>
      <c r="E48" s="1"/>
      <c r="F48" s="1"/>
      <c r="G48" s="1"/>
      <c r="H48" s="1"/>
      <c r="I48" s="1"/>
      <c r="J48" s="1"/>
    </row>
    <row r="49" spans="2:10" x14ac:dyDescent="0.35">
      <c r="B49" s="1"/>
      <c r="C49" s="1"/>
      <c r="D49" s="1"/>
      <c r="E49" s="1"/>
      <c r="F49" s="1"/>
      <c r="G49" s="1"/>
      <c r="H49" s="1"/>
      <c r="I49" s="1"/>
      <c r="J49" s="1"/>
    </row>
    <row r="50" spans="2:10" x14ac:dyDescent="0.35">
      <c r="B50" s="1"/>
      <c r="C50" s="1"/>
      <c r="D50" s="1"/>
      <c r="E50" s="1"/>
      <c r="F50" s="1"/>
      <c r="G50" s="1"/>
      <c r="H50" s="1"/>
      <c r="I50" s="1"/>
      <c r="J50" s="1"/>
    </row>
    <row r="51" spans="2:10" x14ac:dyDescent="0.35">
      <c r="B51" s="1"/>
      <c r="C51" s="1"/>
      <c r="D51" s="1"/>
      <c r="E51" s="1"/>
      <c r="F51" s="1"/>
      <c r="G51" s="1"/>
      <c r="H51" s="1"/>
      <c r="I51" s="1"/>
      <c r="J51" s="1"/>
    </row>
    <row r="52" spans="2:10" x14ac:dyDescent="0.35">
      <c r="B52" s="1"/>
      <c r="C52" s="1"/>
      <c r="D52" s="1"/>
      <c r="E52" s="1"/>
      <c r="F52" s="1"/>
      <c r="G52" s="1"/>
      <c r="H52" s="1"/>
      <c r="I52" s="1"/>
      <c r="J52" s="1"/>
    </row>
    <row r="53" spans="2:10" x14ac:dyDescent="0.35">
      <c r="B53" s="1"/>
      <c r="C53" s="1"/>
      <c r="D53" s="1"/>
      <c r="E53" s="1"/>
      <c r="F53" s="1"/>
      <c r="G53" s="1"/>
      <c r="H53" s="1"/>
      <c r="I53" s="1"/>
      <c r="J53" s="1"/>
    </row>
    <row r="54" spans="2:10" x14ac:dyDescent="0.35">
      <c r="B54" s="1"/>
      <c r="C54" s="1"/>
      <c r="D54" s="1"/>
      <c r="E54" s="1"/>
      <c r="F54" s="1"/>
      <c r="G54" s="1"/>
      <c r="H54" s="1"/>
      <c r="I54" s="1"/>
      <c r="J54" s="1"/>
    </row>
    <row r="55" spans="2:10" x14ac:dyDescent="0.35">
      <c r="B55" s="1"/>
      <c r="C55" s="1"/>
      <c r="D55" s="1"/>
      <c r="E55" s="1"/>
      <c r="F55" s="1"/>
      <c r="G55" s="1"/>
      <c r="H55" s="1"/>
      <c r="I55" s="1"/>
      <c r="J55" s="1"/>
    </row>
    <row r="56" spans="2:10" x14ac:dyDescent="0.35">
      <c r="B56" s="1"/>
      <c r="C56" s="1"/>
      <c r="D56" s="1"/>
      <c r="E56" s="1"/>
      <c r="F56" s="1"/>
      <c r="G56" s="1"/>
      <c r="H56" s="1"/>
      <c r="I56" s="1"/>
      <c r="J56" s="1"/>
    </row>
    <row r="57" spans="2:10" x14ac:dyDescent="0.35">
      <c r="B57" s="1"/>
      <c r="C57" s="1"/>
      <c r="D57" s="1"/>
      <c r="E57" s="1"/>
      <c r="F57" s="1"/>
      <c r="G57" s="1"/>
      <c r="H57" s="1"/>
      <c r="I57" s="1"/>
      <c r="J57" s="1"/>
    </row>
    <row r="58" spans="2:10" x14ac:dyDescent="0.35">
      <c r="B58" s="1"/>
      <c r="C58" s="1"/>
      <c r="D58" s="1"/>
      <c r="E58" s="1"/>
      <c r="F58" s="1"/>
      <c r="G58" s="1"/>
      <c r="H58" s="1"/>
      <c r="I58" s="1"/>
      <c r="J58" s="1"/>
    </row>
    <row r="59" spans="2:10" x14ac:dyDescent="0.35">
      <c r="B59" s="1"/>
      <c r="C59" s="1"/>
      <c r="D59" s="1"/>
      <c r="E59" s="1"/>
      <c r="F59" s="1"/>
      <c r="G59" s="1"/>
      <c r="H59" s="1"/>
      <c r="I59" s="1"/>
      <c r="J59" s="1"/>
    </row>
    <row r="60" spans="2:10" x14ac:dyDescent="0.35">
      <c r="B60" s="1"/>
      <c r="C60" s="1"/>
      <c r="D60" s="1"/>
      <c r="E60" s="1"/>
      <c r="F60" s="1"/>
      <c r="G60" s="1"/>
      <c r="H60" s="1"/>
      <c r="I60" s="1"/>
      <c r="J60" s="1"/>
    </row>
    <row r="61" spans="2:10" x14ac:dyDescent="0.35">
      <c r="B61" s="1"/>
      <c r="C61" s="1"/>
      <c r="D61" s="1"/>
      <c r="E61" s="1"/>
      <c r="F61" s="1"/>
      <c r="G61" s="1"/>
      <c r="H61" s="1"/>
      <c r="I61" s="1"/>
      <c r="J61" s="1"/>
    </row>
    <row r="62" spans="2:10" x14ac:dyDescent="0.35">
      <c r="B62" s="1"/>
      <c r="C62" s="1"/>
      <c r="D62" s="1"/>
      <c r="E62" s="1"/>
      <c r="F62" s="1"/>
      <c r="G62" s="1"/>
      <c r="H62" s="1"/>
      <c r="I62" s="1"/>
      <c r="J62" s="1"/>
    </row>
    <row r="63" spans="2:10" x14ac:dyDescent="0.35">
      <c r="B63" s="1"/>
      <c r="C63" s="1"/>
      <c r="D63" s="1"/>
      <c r="E63" s="1"/>
      <c r="F63" s="1"/>
      <c r="G63" s="1"/>
      <c r="H63" s="1"/>
      <c r="I63" s="1"/>
      <c r="J63" s="1"/>
    </row>
    <row r="64" spans="2:10" x14ac:dyDescent="0.35">
      <c r="B64" s="1"/>
      <c r="C64" s="1"/>
      <c r="D64" s="1"/>
      <c r="E64" s="1"/>
      <c r="F64" s="1"/>
      <c r="G64" s="1"/>
      <c r="H64" s="1"/>
      <c r="I64" s="1"/>
      <c r="J64" s="1"/>
    </row>
    <row r="65" spans="2:10" x14ac:dyDescent="0.35">
      <c r="B65" s="1"/>
      <c r="C65" s="1"/>
      <c r="D65" s="1"/>
      <c r="E65" s="1"/>
      <c r="F65" s="1"/>
      <c r="G65" s="1"/>
      <c r="H65" s="1"/>
      <c r="I65" s="1"/>
      <c r="J65" s="1"/>
    </row>
    <row r="66" spans="2:10" x14ac:dyDescent="0.35">
      <c r="B66" s="1"/>
      <c r="C66" s="1"/>
      <c r="D66" s="1"/>
      <c r="E66" s="1"/>
      <c r="F66" s="1"/>
      <c r="G66" s="1"/>
      <c r="H66" s="1"/>
      <c r="I66" s="1"/>
      <c r="J66" s="1"/>
    </row>
    <row r="67" spans="2:10" x14ac:dyDescent="0.35">
      <c r="B67" s="1"/>
      <c r="C67" s="1"/>
      <c r="D67" s="1"/>
      <c r="E67" s="1"/>
      <c r="F67" s="1"/>
      <c r="G67" s="1"/>
      <c r="H67" s="1"/>
      <c r="I67" s="1"/>
      <c r="J67" s="1"/>
    </row>
    <row r="68" spans="2:10" x14ac:dyDescent="0.35">
      <c r="B68" s="1"/>
      <c r="C68" s="1"/>
      <c r="D68" s="1"/>
      <c r="E68" s="1"/>
      <c r="F68" s="1"/>
      <c r="G68" s="1"/>
      <c r="H68" s="1"/>
      <c r="I68" s="1"/>
      <c r="J68" s="1"/>
    </row>
    <row r="69" spans="2:10" x14ac:dyDescent="0.35">
      <c r="B69" s="1"/>
      <c r="C69" s="1"/>
      <c r="D69" s="1"/>
      <c r="E69" s="1"/>
      <c r="F69" s="1"/>
      <c r="G69" s="1"/>
      <c r="H69" s="1"/>
      <c r="I69" s="1"/>
      <c r="J69" s="1"/>
    </row>
    <row r="70" spans="2:10" x14ac:dyDescent="0.35">
      <c r="B70" s="1"/>
      <c r="C70" s="1"/>
      <c r="D70" s="1"/>
      <c r="E70" s="1"/>
      <c r="F70" s="1"/>
      <c r="G70" s="1"/>
      <c r="H70" s="1"/>
      <c r="I70" s="1"/>
      <c r="J70" s="1"/>
    </row>
    <row r="71" spans="2:10" x14ac:dyDescent="0.35">
      <c r="B71" s="1"/>
      <c r="C71" s="1"/>
      <c r="D71" s="1"/>
      <c r="E71" s="1"/>
      <c r="F71" s="1"/>
      <c r="G71" s="1"/>
      <c r="H71" s="1"/>
      <c r="I71" s="1"/>
      <c r="J71" s="1"/>
    </row>
    <row r="72" spans="2:10" x14ac:dyDescent="0.35">
      <c r="B72" s="1"/>
      <c r="C72" s="1"/>
      <c r="D72" s="1"/>
      <c r="E72" s="1"/>
      <c r="F72" s="1"/>
      <c r="G72" s="1"/>
      <c r="H72" s="1"/>
      <c r="I72" s="1"/>
      <c r="J72" s="1"/>
    </row>
    <row r="73" spans="2:10" x14ac:dyDescent="0.35">
      <c r="B73" s="1"/>
      <c r="C73" s="1"/>
      <c r="D73" s="1"/>
      <c r="E73" s="1"/>
      <c r="F73" s="1"/>
      <c r="G73" s="1"/>
      <c r="H73" s="1"/>
      <c r="I73" s="1"/>
      <c r="J73" s="1"/>
    </row>
    <row r="74" spans="2:10" x14ac:dyDescent="0.35">
      <c r="B74" s="1"/>
      <c r="C74" s="1"/>
      <c r="D74" s="1"/>
      <c r="E74" s="1"/>
      <c r="F74" s="1"/>
      <c r="G74" s="1"/>
      <c r="H74" s="1"/>
      <c r="I74" s="1"/>
      <c r="J74" s="1"/>
    </row>
    <row r="75" spans="2:10" x14ac:dyDescent="0.35">
      <c r="B75" s="1"/>
      <c r="C75" s="1"/>
      <c r="D75" s="1"/>
      <c r="E75" s="1"/>
      <c r="F75" s="1"/>
      <c r="G75" s="1"/>
      <c r="H75" s="1"/>
      <c r="I75" s="1"/>
      <c r="J75" s="1"/>
    </row>
    <row r="76" spans="2:10" x14ac:dyDescent="0.35">
      <c r="B76" s="1"/>
      <c r="C76" s="1"/>
      <c r="D76" s="1"/>
      <c r="E76" s="1"/>
      <c r="F76" s="1"/>
      <c r="G76" s="1"/>
      <c r="H76" s="1"/>
      <c r="I76" s="1"/>
      <c r="J76" s="1"/>
    </row>
    <row r="77" spans="2:10" x14ac:dyDescent="0.35">
      <c r="B77" s="1"/>
      <c r="C77" s="1"/>
      <c r="D77" s="1"/>
      <c r="E77" s="1"/>
      <c r="F77" s="1"/>
      <c r="G77" s="1"/>
      <c r="H77" s="1"/>
      <c r="I77" s="1"/>
      <c r="J77" s="1"/>
    </row>
    <row r="78" spans="2:10" x14ac:dyDescent="0.35">
      <c r="B78" s="1"/>
      <c r="C78" s="1"/>
      <c r="D78" s="1"/>
      <c r="E78" s="1"/>
      <c r="F78" s="1"/>
      <c r="G78" s="1"/>
      <c r="H78" s="1"/>
      <c r="I78" s="1"/>
      <c r="J78" s="1"/>
    </row>
    <row r="79" spans="2:10" x14ac:dyDescent="0.35">
      <c r="B79" s="1"/>
      <c r="C79" s="1"/>
      <c r="D79" s="1"/>
      <c r="E79" s="1"/>
      <c r="F79" s="1"/>
      <c r="G79" s="1"/>
      <c r="H79" s="1"/>
      <c r="I79" s="1"/>
      <c r="J79" s="1"/>
    </row>
    <row r="80" spans="2:10" x14ac:dyDescent="0.35">
      <c r="B80" s="1"/>
      <c r="C80" s="1"/>
      <c r="D80" s="1"/>
      <c r="E80" s="1"/>
      <c r="F80" s="1"/>
      <c r="G80" s="1"/>
      <c r="H80" s="1"/>
      <c r="I80" s="1"/>
      <c r="J80" s="1"/>
    </row>
    <row r="81" spans="2:10" x14ac:dyDescent="0.35">
      <c r="B81" s="1"/>
      <c r="C81" s="1"/>
      <c r="D81" s="1"/>
      <c r="E81" s="1"/>
      <c r="F81" s="1"/>
      <c r="G81" s="1"/>
      <c r="H81" s="1"/>
      <c r="I81" s="1"/>
      <c r="J81" s="1"/>
    </row>
    <row r="82" spans="2:10" x14ac:dyDescent="0.35">
      <c r="B82" s="1"/>
      <c r="C82" s="1"/>
      <c r="D82" s="1"/>
      <c r="E82" s="1"/>
      <c r="F82" s="1"/>
      <c r="G82" s="1"/>
      <c r="H82" s="1"/>
      <c r="I82" s="1"/>
      <c r="J82" s="1"/>
    </row>
    <row r="83" spans="2:10" x14ac:dyDescent="0.35">
      <c r="B83" s="1"/>
      <c r="C83" s="1"/>
      <c r="D83" s="1"/>
      <c r="E83" s="1"/>
      <c r="F83" s="1"/>
      <c r="G83" s="1"/>
      <c r="H83" s="1"/>
      <c r="I83" s="1"/>
      <c r="J83" s="1"/>
    </row>
    <row r="84" spans="2:10" x14ac:dyDescent="0.35">
      <c r="B84" s="1"/>
      <c r="C84" s="1"/>
      <c r="D84" s="1"/>
      <c r="E84" s="1"/>
      <c r="F84" s="1"/>
      <c r="G84" s="1"/>
      <c r="H84" s="1"/>
      <c r="I84" s="1"/>
      <c r="J84" s="1"/>
    </row>
    <row r="85" spans="2:10" x14ac:dyDescent="0.35">
      <c r="B85" s="1"/>
      <c r="C85" s="1"/>
      <c r="D85" s="1"/>
      <c r="E85" s="1"/>
      <c r="F85" s="1"/>
      <c r="G85" s="1"/>
      <c r="H85" s="1"/>
      <c r="I85" s="1"/>
      <c r="J85" s="1"/>
    </row>
    <row r="86" spans="2:10" x14ac:dyDescent="0.35">
      <c r="B86" s="1"/>
      <c r="C86" s="1"/>
      <c r="D86" s="1"/>
      <c r="E86" s="1"/>
      <c r="F86" s="1"/>
      <c r="G86" s="1"/>
      <c r="H86" s="1"/>
      <c r="I86" s="1"/>
      <c r="J86" s="1"/>
    </row>
    <row r="87" spans="2:10" x14ac:dyDescent="0.35">
      <c r="B87" s="1"/>
      <c r="C87" s="1"/>
      <c r="D87" s="1"/>
      <c r="E87" s="1"/>
      <c r="F87" s="1"/>
      <c r="G87" s="1"/>
      <c r="H87" s="1"/>
      <c r="I87" s="1"/>
      <c r="J87" s="1"/>
    </row>
    <row r="88" spans="2:10" x14ac:dyDescent="0.35">
      <c r="B88" s="1"/>
      <c r="C88" s="1"/>
      <c r="D88" s="1"/>
      <c r="E88" s="1"/>
      <c r="F88" s="1"/>
      <c r="G88" s="1"/>
      <c r="H88" s="1"/>
      <c r="I88" s="1"/>
      <c r="J88" s="1"/>
    </row>
    <row r="89" spans="2:10" x14ac:dyDescent="0.35">
      <c r="B89" s="1"/>
      <c r="C89" s="1"/>
      <c r="D89" s="1"/>
      <c r="E89" s="1"/>
      <c r="F89" s="1"/>
      <c r="G89" s="1"/>
      <c r="H89" s="1"/>
      <c r="I89" s="1"/>
      <c r="J89" s="1"/>
    </row>
    <row r="90" spans="2:10" x14ac:dyDescent="0.35">
      <c r="B90" s="1"/>
      <c r="C90" s="1"/>
      <c r="D90" s="1"/>
      <c r="E90" s="1"/>
      <c r="F90" s="1"/>
      <c r="G90" s="1"/>
      <c r="H90" s="1"/>
      <c r="I90" s="1"/>
      <c r="J90" s="1"/>
    </row>
    <row r="91" spans="2:10" x14ac:dyDescent="0.35">
      <c r="B91" s="1"/>
      <c r="C91" s="1"/>
      <c r="D91" s="1"/>
      <c r="E91" s="1"/>
      <c r="F91" s="1"/>
      <c r="G91" s="1"/>
      <c r="H91" s="1"/>
      <c r="I91" s="1"/>
      <c r="J91" s="1"/>
    </row>
    <row r="92" spans="2:10" x14ac:dyDescent="0.35">
      <c r="B92" s="1"/>
      <c r="C92" s="1"/>
      <c r="D92" s="1"/>
      <c r="E92" s="1"/>
      <c r="F92" s="1"/>
      <c r="G92" s="1"/>
      <c r="H92" s="1"/>
      <c r="I92" s="1"/>
      <c r="J92" s="1"/>
    </row>
    <row r="93" spans="2:10" x14ac:dyDescent="0.35">
      <c r="B93" s="1"/>
      <c r="C93" s="1"/>
      <c r="D93" s="1"/>
      <c r="E93" s="1"/>
      <c r="F93" s="1"/>
      <c r="G93" s="1"/>
      <c r="H93" s="1"/>
      <c r="I93" s="1"/>
      <c r="J93" s="1"/>
    </row>
    <row r="94" spans="2:10" x14ac:dyDescent="0.35">
      <c r="B94" s="1"/>
      <c r="C94" s="1"/>
      <c r="D94" s="1"/>
      <c r="E94" s="1"/>
      <c r="F94" s="1"/>
      <c r="G94" s="1"/>
      <c r="H94" s="1"/>
      <c r="I94" s="1"/>
      <c r="J94" s="1"/>
    </row>
    <row r="95" spans="2:10" x14ac:dyDescent="0.35">
      <c r="B95" s="1"/>
      <c r="C95" s="1"/>
      <c r="D95" s="1"/>
      <c r="E95" s="1"/>
      <c r="F95" s="1"/>
      <c r="G95" s="1"/>
      <c r="H95" s="1"/>
      <c r="I95" s="1"/>
      <c r="J95" s="1"/>
    </row>
    <row r="96" spans="2:10" x14ac:dyDescent="0.35">
      <c r="B96" s="1"/>
      <c r="C96" s="1"/>
      <c r="D96" s="1"/>
      <c r="E96" s="1"/>
      <c r="F96" s="1"/>
      <c r="G96" s="1"/>
      <c r="H96" s="1"/>
      <c r="I96" s="1"/>
      <c r="J96" s="1"/>
    </row>
    <row r="97" spans="2:10" x14ac:dyDescent="0.35">
      <c r="B97" s="1"/>
      <c r="C97" s="1"/>
      <c r="D97" s="1"/>
      <c r="E97" s="1"/>
      <c r="F97" s="1"/>
      <c r="G97" s="1"/>
      <c r="H97" s="1"/>
      <c r="I97" s="1"/>
      <c r="J97" s="1"/>
    </row>
    <row r="98" spans="2:10" x14ac:dyDescent="0.35">
      <c r="B98" s="1"/>
      <c r="C98" s="1"/>
      <c r="D98" s="1"/>
      <c r="E98" s="1"/>
      <c r="F98" s="1"/>
      <c r="G98" s="1"/>
      <c r="H98" s="1"/>
      <c r="I98" s="1"/>
      <c r="J98" s="1"/>
    </row>
    <row r="99" spans="2:10" x14ac:dyDescent="0.35">
      <c r="B99" s="1"/>
      <c r="C99" s="1"/>
      <c r="D99" s="1"/>
      <c r="E99" s="1"/>
      <c r="F99" s="1"/>
      <c r="G99" s="1"/>
      <c r="H99" s="1"/>
      <c r="I99" s="1"/>
      <c r="J99" s="1"/>
    </row>
    <row r="100" spans="2:10" x14ac:dyDescent="0.35">
      <c r="B100" s="1"/>
      <c r="C100" s="1"/>
      <c r="D100" s="1"/>
      <c r="E100" s="1"/>
      <c r="F100" s="1"/>
      <c r="G100" s="1"/>
      <c r="H100" s="1"/>
      <c r="I100" s="1"/>
      <c r="J100" s="1"/>
    </row>
    <row r="101" spans="2:10" x14ac:dyDescent="0.35">
      <c r="B101" s="1"/>
      <c r="C101" s="1"/>
      <c r="D101" s="1"/>
      <c r="E101" s="1"/>
      <c r="F101" s="1"/>
      <c r="G101" s="1"/>
      <c r="H101" s="1"/>
      <c r="I101" s="1"/>
      <c r="J101" s="1"/>
    </row>
    <row r="102" spans="2:10" x14ac:dyDescent="0.35">
      <c r="B102" s="1"/>
      <c r="C102" s="1"/>
      <c r="D102" s="1"/>
      <c r="E102" s="1"/>
      <c r="F102" s="1"/>
      <c r="G102" s="1"/>
      <c r="H102" s="1"/>
      <c r="I102" s="1"/>
      <c r="J102" s="1"/>
    </row>
    <row r="103" spans="2:10" x14ac:dyDescent="0.35">
      <c r="B103" s="1"/>
      <c r="C103" s="1"/>
      <c r="D103" s="1"/>
      <c r="E103" s="1"/>
      <c r="F103" s="1"/>
      <c r="G103" s="1"/>
      <c r="H103" s="1"/>
      <c r="I103" s="1"/>
      <c r="J103" s="1"/>
    </row>
    <row r="104" spans="2:10" x14ac:dyDescent="0.35">
      <c r="B104" s="1"/>
      <c r="C104" s="1"/>
      <c r="D104" s="1"/>
      <c r="E104" s="1"/>
      <c r="F104" s="1"/>
      <c r="G104" s="1"/>
      <c r="H104" s="1"/>
      <c r="I104" s="1"/>
      <c r="J104" s="1"/>
    </row>
    <row r="105" spans="2:10" x14ac:dyDescent="0.35">
      <c r="B105" s="1"/>
      <c r="C105" s="1"/>
      <c r="D105" s="1"/>
      <c r="E105" s="1"/>
      <c r="F105" s="1"/>
      <c r="G105" s="1"/>
      <c r="H105" s="1"/>
      <c r="I105" s="1"/>
      <c r="J105" s="1"/>
    </row>
    <row r="106" spans="2:10" x14ac:dyDescent="0.35">
      <c r="B106" s="1"/>
      <c r="C106" s="1"/>
      <c r="D106" s="1"/>
      <c r="E106" s="1"/>
      <c r="F106" s="1"/>
      <c r="G106" s="1"/>
      <c r="H106" s="1"/>
      <c r="I106" s="1"/>
      <c r="J106" s="1"/>
    </row>
    <row r="107" spans="2:10" x14ac:dyDescent="0.35">
      <c r="B107" s="1"/>
      <c r="C107" s="1"/>
      <c r="D107" s="1"/>
      <c r="E107" s="1"/>
      <c r="F107" s="1"/>
      <c r="G107" s="1"/>
      <c r="H107" s="1"/>
      <c r="I107" s="1"/>
      <c r="J107" s="1"/>
    </row>
    <row r="108" spans="2:10" x14ac:dyDescent="0.35">
      <c r="B108" s="1"/>
      <c r="C108" s="1"/>
      <c r="D108" s="1"/>
      <c r="E108" s="1"/>
      <c r="F108" s="1"/>
      <c r="G108" s="1"/>
      <c r="H108" s="1"/>
      <c r="I108" s="1"/>
      <c r="J108" s="1"/>
    </row>
    <row r="109" spans="2:10" x14ac:dyDescent="0.35">
      <c r="B109" s="1"/>
      <c r="C109" s="1"/>
      <c r="D109" s="1"/>
      <c r="E109" s="1"/>
      <c r="F109" s="1"/>
      <c r="G109" s="1"/>
      <c r="H109" s="1"/>
      <c r="I109" s="1"/>
      <c r="J109" s="1"/>
    </row>
    <row r="110" spans="2:10" x14ac:dyDescent="0.35">
      <c r="B110" s="1"/>
      <c r="C110" s="1"/>
      <c r="D110" s="1"/>
      <c r="E110" s="1"/>
      <c r="F110" s="1"/>
      <c r="G110" s="1"/>
      <c r="H110" s="1"/>
      <c r="I110" s="1"/>
      <c r="J110" s="1"/>
    </row>
    <row r="111" spans="2:10" x14ac:dyDescent="0.35">
      <c r="B111" s="1"/>
      <c r="C111" s="1"/>
      <c r="D111" s="1"/>
      <c r="E111" s="1"/>
      <c r="F111" s="1"/>
      <c r="G111" s="1"/>
      <c r="H111" s="1"/>
      <c r="I111" s="1"/>
      <c r="J111" s="1"/>
    </row>
    <row r="112" spans="2:10" x14ac:dyDescent="0.35">
      <c r="B112" s="1"/>
      <c r="C112" s="1"/>
      <c r="D112" s="1"/>
      <c r="E112" s="1"/>
      <c r="F112" s="1"/>
      <c r="G112" s="1"/>
      <c r="H112" s="1"/>
      <c r="I112" s="1"/>
      <c r="J112" s="1"/>
    </row>
    <row r="113" spans="2:10" x14ac:dyDescent="0.35">
      <c r="B113" s="1"/>
      <c r="C113" s="1"/>
      <c r="D113" s="1"/>
      <c r="E113" s="1"/>
      <c r="F113" s="1"/>
      <c r="G113" s="1"/>
      <c r="H113" s="1"/>
      <c r="I113" s="1"/>
      <c r="J113" s="1"/>
    </row>
    <row r="114" spans="2:10" x14ac:dyDescent="0.35">
      <c r="B114" s="1"/>
      <c r="C114" s="1"/>
      <c r="D114" s="1"/>
      <c r="E114" s="1"/>
      <c r="F114" s="1"/>
      <c r="G114" s="1"/>
      <c r="H114" s="1"/>
      <c r="I114" s="1"/>
      <c r="J114" s="1"/>
    </row>
    <row r="115" spans="2:10" x14ac:dyDescent="0.35">
      <c r="B115" s="1"/>
      <c r="C115" s="1"/>
      <c r="D115" s="1"/>
      <c r="E115" s="1"/>
      <c r="F115" s="1"/>
      <c r="G115" s="1"/>
      <c r="H115" s="1"/>
      <c r="I115" s="1"/>
      <c r="J115" s="1"/>
    </row>
    <row r="116" spans="2:10" x14ac:dyDescent="0.35">
      <c r="B116" s="1"/>
      <c r="C116" s="1"/>
      <c r="D116" s="1"/>
      <c r="E116" s="1"/>
      <c r="F116" s="1"/>
      <c r="G116" s="1"/>
      <c r="H116" s="1"/>
      <c r="I116" s="1"/>
      <c r="J116" s="1"/>
    </row>
    <row r="117" spans="2:10" x14ac:dyDescent="0.35">
      <c r="B117" s="1"/>
      <c r="C117" s="1"/>
      <c r="D117" s="1"/>
      <c r="E117" s="1"/>
      <c r="F117" s="1"/>
      <c r="G117" s="1"/>
      <c r="H117" s="1"/>
      <c r="I117" s="1"/>
      <c r="J117" s="1"/>
    </row>
    <row r="118" spans="2:10" x14ac:dyDescent="0.35">
      <c r="B118" s="1"/>
      <c r="C118" s="1"/>
      <c r="D118" s="1"/>
      <c r="E118" s="1"/>
      <c r="F118" s="1"/>
      <c r="G118" s="1"/>
      <c r="H118" s="1"/>
      <c r="I118" s="1"/>
      <c r="J118" s="1"/>
    </row>
    <row r="119" spans="2:10" x14ac:dyDescent="0.35">
      <c r="B119" s="1"/>
      <c r="C119" s="1"/>
      <c r="D119" s="1"/>
      <c r="E119" s="1"/>
      <c r="F119" s="1"/>
      <c r="G119" s="1"/>
      <c r="H119" s="1"/>
      <c r="I119" s="1"/>
      <c r="J119" s="1"/>
    </row>
    <row r="120" spans="2:10" x14ac:dyDescent="0.35">
      <c r="B120" s="1"/>
      <c r="C120" s="1"/>
      <c r="D120" s="1"/>
      <c r="E120" s="1"/>
      <c r="F120" s="1"/>
      <c r="G120" s="1"/>
      <c r="H120" s="1"/>
      <c r="I120" s="1"/>
      <c r="J120" s="1"/>
    </row>
    <row r="121" spans="2:10" x14ac:dyDescent="0.35">
      <c r="B121" s="1"/>
      <c r="C121" s="1"/>
      <c r="D121" s="1"/>
      <c r="E121" s="1"/>
      <c r="F121" s="1"/>
      <c r="G121" s="1"/>
      <c r="H121" s="1"/>
      <c r="I121" s="1"/>
      <c r="J121" s="1"/>
    </row>
    <row r="122" spans="2:10" x14ac:dyDescent="0.35">
      <c r="B122" s="1"/>
      <c r="C122" s="1"/>
      <c r="D122" s="1"/>
      <c r="E122" s="1"/>
      <c r="F122" s="1"/>
      <c r="G122" s="1"/>
      <c r="H122" s="1"/>
      <c r="I122" s="1"/>
      <c r="J122" s="1"/>
    </row>
    <row r="123" spans="2:10" x14ac:dyDescent="0.35">
      <c r="B123" s="1"/>
      <c r="C123" s="1"/>
      <c r="D123" s="1"/>
      <c r="E123" s="1"/>
      <c r="F123" s="1"/>
      <c r="G123" s="1"/>
      <c r="H123" s="1"/>
      <c r="I123" s="1"/>
      <c r="J123" s="1"/>
    </row>
    <row r="124" spans="2:10" x14ac:dyDescent="0.35">
      <c r="B124" s="1"/>
      <c r="C124" s="1"/>
      <c r="D124" s="1"/>
      <c r="E124" s="1"/>
      <c r="F124" s="1"/>
      <c r="G124" s="1"/>
      <c r="H124" s="1"/>
      <c r="I124" s="1"/>
      <c r="J124" s="1"/>
    </row>
    <row r="125" spans="2:10" x14ac:dyDescent="0.35">
      <c r="B125" s="1"/>
      <c r="C125" s="1"/>
      <c r="D125" s="1"/>
      <c r="E125" s="1"/>
      <c r="F125" s="1"/>
      <c r="G125" s="1"/>
      <c r="H125" s="1"/>
      <c r="I125" s="1"/>
      <c r="J125" s="1"/>
    </row>
    <row r="126" spans="2:10" x14ac:dyDescent="0.35">
      <c r="B126" s="1"/>
      <c r="C126" s="1"/>
      <c r="D126" s="1"/>
      <c r="E126" s="1"/>
      <c r="F126" s="1"/>
      <c r="G126" s="1"/>
      <c r="H126" s="1"/>
      <c r="I126" s="1"/>
      <c r="J126" s="1"/>
    </row>
    <row r="127" spans="2:10" x14ac:dyDescent="0.35">
      <c r="B127" s="1"/>
      <c r="C127" s="1"/>
      <c r="D127" s="1"/>
      <c r="E127" s="1"/>
      <c r="F127" s="1"/>
      <c r="G127" s="1"/>
      <c r="H127" s="1"/>
      <c r="I127" s="1"/>
      <c r="J127" s="1"/>
    </row>
    <row r="128" spans="2:10" x14ac:dyDescent="0.35">
      <c r="B128" s="1"/>
      <c r="C128" s="1"/>
      <c r="D128" s="1"/>
      <c r="E128" s="1"/>
      <c r="F128" s="1"/>
      <c r="G128" s="1"/>
      <c r="H128" s="1"/>
      <c r="I128" s="1"/>
      <c r="J128" s="1"/>
    </row>
    <row r="129" spans="2:10" x14ac:dyDescent="0.35">
      <c r="B129" s="1"/>
      <c r="C129" s="1"/>
      <c r="D129" s="1"/>
      <c r="E129" s="1"/>
      <c r="F129" s="1"/>
      <c r="G129" s="1"/>
      <c r="H129" s="1"/>
      <c r="I129" s="1"/>
      <c r="J129" s="1"/>
    </row>
    <row r="130" spans="2:10" x14ac:dyDescent="0.35">
      <c r="B130" s="1"/>
      <c r="C130" s="1"/>
      <c r="D130" s="1"/>
      <c r="E130" s="1"/>
      <c r="F130" s="1"/>
      <c r="G130" s="1"/>
      <c r="H130" s="1"/>
      <c r="I130" s="1"/>
      <c r="J130" s="1"/>
    </row>
    <row r="131" spans="2:10" x14ac:dyDescent="0.35">
      <c r="B131" s="1"/>
      <c r="C131" s="1"/>
      <c r="D131" s="1"/>
      <c r="E131" s="1"/>
      <c r="F131" s="1"/>
      <c r="G131" s="1"/>
      <c r="H131" s="1"/>
      <c r="I131" s="1"/>
      <c r="J131" s="1"/>
    </row>
    <row r="132" spans="2:10" x14ac:dyDescent="0.35">
      <c r="B132" s="1"/>
      <c r="C132" s="1"/>
      <c r="D132" s="1"/>
      <c r="E132" s="1"/>
      <c r="F132" s="1"/>
      <c r="G132" s="1"/>
      <c r="H132" s="1"/>
      <c r="I132" s="1"/>
      <c r="J132" s="1"/>
    </row>
    <row r="133" spans="2:10" x14ac:dyDescent="0.35">
      <c r="B133" s="1"/>
      <c r="C133" s="1"/>
      <c r="D133" s="1"/>
      <c r="E133" s="1"/>
      <c r="F133" s="1"/>
      <c r="G133" s="1"/>
      <c r="H133" s="1"/>
      <c r="I133" s="1"/>
      <c r="J133" s="1"/>
    </row>
    <row r="134" spans="2:10" x14ac:dyDescent="0.35">
      <c r="B134" s="1"/>
      <c r="C134" s="1"/>
      <c r="D134" s="1"/>
      <c r="E134" s="1"/>
      <c r="F134" s="1"/>
      <c r="G134" s="1"/>
      <c r="H134" s="1"/>
      <c r="I134" s="1"/>
      <c r="J134" s="1"/>
    </row>
    <row r="135" spans="2:10" x14ac:dyDescent="0.35">
      <c r="B135" s="1"/>
      <c r="C135" s="1"/>
      <c r="D135" s="1"/>
      <c r="E135" s="1"/>
      <c r="F135" s="1"/>
      <c r="G135" s="1"/>
      <c r="H135" s="1"/>
      <c r="I135" s="1"/>
      <c r="J135" s="1"/>
    </row>
    <row r="136" spans="2:10" x14ac:dyDescent="0.35">
      <c r="B136" s="1"/>
      <c r="C136" s="1"/>
      <c r="D136" s="1"/>
      <c r="E136" s="1"/>
      <c r="F136" s="1"/>
      <c r="G136" s="1"/>
      <c r="H136" s="1"/>
      <c r="I136" s="1"/>
      <c r="J136" s="1"/>
    </row>
    <row r="137" spans="2:10" x14ac:dyDescent="0.35">
      <c r="B137" s="1"/>
      <c r="C137" s="1"/>
      <c r="D137" s="1"/>
      <c r="E137" s="1"/>
      <c r="F137" s="1"/>
      <c r="G137" s="1"/>
      <c r="H137" s="1"/>
      <c r="I137" s="1"/>
      <c r="J137" s="1"/>
    </row>
    <row r="138" spans="2:10" x14ac:dyDescent="0.35">
      <c r="B138" s="1"/>
      <c r="C138" s="1"/>
      <c r="D138" s="1"/>
      <c r="E138" s="1"/>
      <c r="F138" s="1"/>
      <c r="G138" s="1"/>
      <c r="H138" s="1"/>
      <c r="I138" s="1"/>
      <c r="J138" s="1"/>
    </row>
    <row r="139" spans="2:10" x14ac:dyDescent="0.35">
      <c r="B139" s="1"/>
      <c r="C139" s="1"/>
      <c r="D139" s="1"/>
      <c r="E139" s="1"/>
      <c r="F139" s="1"/>
      <c r="G139" s="1"/>
      <c r="H139" s="1"/>
      <c r="I139" s="1"/>
      <c r="J139" s="1"/>
    </row>
    <row r="140" spans="2:10" x14ac:dyDescent="0.35">
      <c r="B140" s="1"/>
      <c r="C140" s="1"/>
      <c r="D140" s="1"/>
      <c r="E140" s="1"/>
      <c r="F140" s="1"/>
      <c r="G140" s="1"/>
      <c r="H140" s="1"/>
      <c r="I140" s="1"/>
      <c r="J140" s="1"/>
    </row>
    <row r="141" spans="2:10" x14ac:dyDescent="0.35">
      <c r="B141" s="1"/>
      <c r="C141" s="1"/>
      <c r="D141" s="1"/>
      <c r="E141" s="1"/>
      <c r="F141" s="1"/>
      <c r="G141" s="1"/>
      <c r="H141" s="1"/>
      <c r="I141" s="1"/>
      <c r="J141" s="1"/>
    </row>
    <row r="142" spans="2:10" x14ac:dyDescent="0.35">
      <c r="B142" s="1"/>
      <c r="C142" s="1"/>
      <c r="D142" s="1"/>
      <c r="E142" s="1"/>
      <c r="F142" s="1"/>
      <c r="G142" s="1"/>
      <c r="H142" s="1"/>
      <c r="I142" s="1"/>
      <c r="J142" s="1"/>
    </row>
    <row r="143" spans="2:10" x14ac:dyDescent="0.35">
      <c r="B143" s="1"/>
      <c r="C143" s="1"/>
      <c r="D143" s="1"/>
      <c r="E143" s="1"/>
      <c r="F143" s="1"/>
      <c r="G143" s="1"/>
      <c r="H143" s="1"/>
      <c r="I143" s="1"/>
      <c r="J143" s="1"/>
    </row>
    <row r="144" spans="2:10" x14ac:dyDescent="0.35">
      <c r="B144" s="1"/>
      <c r="C144" s="1"/>
      <c r="D144" s="1"/>
      <c r="E144" s="1"/>
      <c r="F144" s="1"/>
      <c r="G144" s="1"/>
      <c r="H144" s="1"/>
      <c r="I144" s="1"/>
      <c r="J144" s="1"/>
    </row>
    <row r="145" spans="2:10" x14ac:dyDescent="0.35">
      <c r="B145" s="1"/>
      <c r="C145" s="1"/>
      <c r="D145" s="1"/>
      <c r="E145" s="1"/>
      <c r="F145" s="1"/>
      <c r="G145" s="1"/>
      <c r="H145" s="1"/>
      <c r="I145" s="1"/>
      <c r="J145" s="1"/>
    </row>
    <row r="146" spans="2:10" x14ac:dyDescent="0.35">
      <c r="B146" s="1"/>
      <c r="C146" s="1"/>
      <c r="D146" s="1"/>
      <c r="E146" s="1"/>
      <c r="F146" s="1"/>
      <c r="G146" s="1"/>
      <c r="H146" s="1"/>
      <c r="I146" s="1"/>
      <c r="J146" s="1"/>
    </row>
    <row r="147" spans="2:10" x14ac:dyDescent="0.35">
      <c r="B147" s="1"/>
      <c r="C147" s="1"/>
      <c r="D147" s="1"/>
      <c r="E147" s="1"/>
      <c r="F147" s="1"/>
      <c r="G147" s="1"/>
      <c r="H147" s="1"/>
      <c r="I147" s="1"/>
      <c r="J147" s="1"/>
    </row>
    <row r="148" spans="2:10" x14ac:dyDescent="0.35">
      <c r="B148" s="1"/>
      <c r="C148" s="1"/>
      <c r="D148" s="1"/>
      <c r="E148" s="1"/>
      <c r="F148" s="1"/>
      <c r="G148" s="1"/>
      <c r="H148" s="1"/>
      <c r="I148" s="1"/>
      <c r="J148" s="1"/>
    </row>
    <row r="149" spans="2:10" x14ac:dyDescent="0.35">
      <c r="B149" s="1"/>
      <c r="C149" s="1"/>
      <c r="D149" s="1"/>
      <c r="E149" s="1"/>
      <c r="F149" s="1"/>
      <c r="G149" s="1"/>
      <c r="H149" s="1"/>
      <c r="I149" s="1"/>
      <c r="J149" s="1"/>
    </row>
    <row r="150" spans="2:10" x14ac:dyDescent="0.35">
      <c r="B150" s="1"/>
      <c r="C150" s="1"/>
      <c r="D150" s="1"/>
      <c r="E150" s="1"/>
      <c r="F150" s="1"/>
      <c r="G150" s="1"/>
      <c r="H150" s="1"/>
      <c r="I150" s="1"/>
      <c r="J150" s="1"/>
    </row>
    <row r="151" spans="2:10" x14ac:dyDescent="0.35">
      <c r="B151" s="1"/>
      <c r="C151" s="1"/>
      <c r="D151" s="1"/>
      <c r="E151" s="1"/>
      <c r="F151" s="1"/>
      <c r="G151" s="1"/>
      <c r="H151" s="1"/>
      <c r="I151" s="1"/>
      <c r="J151" s="1"/>
    </row>
    <row r="152" spans="2:10" x14ac:dyDescent="0.35">
      <c r="B152" s="1"/>
      <c r="C152" s="1"/>
      <c r="D152" s="1"/>
      <c r="E152" s="1"/>
      <c r="F152" s="1"/>
      <c r="G152" s="1"/>
      <c r="H152" s="1"/>
      <c r="I152" s="1"/>
      <c r="J152" s="1"/>
    </row>
    <row r="153" spans="2:10" x14ac:dyDescent="0.35">
      <c r="B153" s="1"/>
      <c r="C153" s="1"/>
      <c r="D153" s="1"/>
      <c r="E153" s="1"/>
      <c r="F153" s="1"/>
      <c r="G153" s="1"/>
      <c r="H153" s="1"/>
      <c r="I153" s="1"/>
      <c r="J153" s="1"/>
    </row>
    <row r="154" spans="2:10" x14ac:dyDescent="0.35">
      <c r="B154" s="1"/>
      <c r="C154" s="1"/>
      <c r="D154" s="1"/>
      <c r="E154" s="1"/>
      <c r="F154" s="1"/>
      <c r="G154" s="1"/>
      <c r="H154" s="1"/>
      <c r="I154" s="1"/>
      <c r="J154" s="1"/>
    </row>
    <row r="155" spans="2:10" x14ac:dyDescent="0.35">
      <c r="B155" s="1"/>
      <c r="C155" s="1"/>
      <c r="D155" s="1"/>
      <c r="E155" s="1"/>
      <c r="F155" s="1"/>
      <c r="G155" s="1"/>
      <c r="H155" s="1"/>
      <c r="I155" s="1"/>
      <c r="J155" s="1"/>
    </row>
    <row r="156" spans="2:10" x14ac:dyDescent="0.35">
      <c r="B156" s="1"/>
      <c r="C156" s="1"/>
      <c r="D156" s="1"/>
      <c r="E156" s="1"/>
      <c r="F156" s="1"/>
      <c r="G156" s="1"/>
      <c r="H156" s="1"/>
      <c r="I156" s="1"/>
      <c r="J156" s="1"/>
    </row>
    <row r="157" spans="2:10" x14ac:dyDescent="0.35">
      <c r="B157" s="1"/>
      <c r="C157" s="1"/>
      <c r="D157" s="1"/>
      <c r="E157" s="1"/>
      <c r="F157" s="1"/>
      <c r="G157" s="1"/>
      <c r="H157" s="1"/>
      <c r="I157" s="1"/>
      <c r="J157" s="1"/>
    </row>
    <row r="158" spans="2:10" x14ac:dyDescent="0.35">
      <c r="B158" s="1"/>
      <c r="C158" s="1"/>
      <c r="D158" s="1"/>
      <c r="E158" s="1"/>
      <c r="F158" s="1"/>
      <c r="G158" s="1"/>
      <c r="H158" s="1"/>
      <c r="I158" s="1"/>
      <c r="J158" s="1"/>
    </row>
    <row r="159" spans="2:10" x14ac:dyDescent="0.35">
      <c r="B159" s="1"/>
      <c r="C159" s="1"/>
      <c r="D159" s="1"/>
      <c r="E159" s="1"/>
      <c r="F159" s="1"/>
      <c r="G159" s="1"/>
      <c r="H159" s="1"/>
      <c r="I159" s="1"/>
      <c r="J159" s="1"/>
    </row>
    <row r="160" spans="2:10" x14ac:dyDescent="0.35">
      <c r="B160" s="1"/>
      <c r="C160" s="1"/>
      <c r="D160" s="1"/>
      <c r="E160" s="1"/>
      <c r="F160" s="1"/>
      <c r="G160" s="1"/>
      <c r="H160" s="1"/>
      <c r="I160" s="1"/>
      <c r="J160" s="1"/>
    </row>
    <row r="161" spans="2:10" x14ac:dyDescent="0.35">
      <c r="B161" s="1"/>
      <c r="C161" s="1"/>
      <c r="D161" s="1"/>
      <c r="E161" s="1"/>
      <c r="F161" s="1"/>
      <c r="G161" s="1"/>
      <c r="H161" s="1"/>
      <c r="I161" s="1"/>
      <c r="J161" s="1"/>
    </row>
    <row r="162" spans="2:10" x14ac:dyDescent="0.35">
      <c r="B162" s="1"/>
      <c r="C162" s="1"/>
      <c r="D162" s="1"/>
      <c r="E162" s="1"/>
      <c r="F162" s="1"/>
      <c r="G162" s="1"/>
      <c r="H162" s="1"/>
      <c r="I162" s="1"/>
      <c r="J162" s="1"/>
    </row>
    <row r="163" spans="2:10" x14ac:dyDescent="0.35">
      <c r="B163" s="1"/>
      <c r="C163" s="1"/>
      <c r="D163" s="1"/>
      <c r="E163" s="1"/>
      <c r="F163" s="1"/>
      <c r="G163" s="1"/>
      <c r="H163" s="1"/>
      <c r="I163" s="1"/>
      <c r="J163" s="1"/>
    </row>
    <row r="164" spans="2:10" x14ac:dyDescent="0.35">
      <c r="B164" s="1"/>
      <c r="C164" s="1"/>
      <c r="D164" s="1"/>
      <c r="E164" s="1"/>
      <c r="F164" s="1"/>
      <c r="G164" s="1"/>
      <c r="H164" s="1"/>
      <c r="I164" s="1"/>
      <c r="J164" s="1"/>
    </row>
    <row r="165" spans="2:10" x14ac:dyDescent="0.35">
      <c r="B165" s="1"/>
      <c r="C165" s="1"/>
      <c r="D165" s="1"/>
      <c r="E165" s="1"/>
      <c r="F165" s="1"/>
      <c r="G165" s="1"/>
      <c r="H165" s="1"/>
      <c r="I165" s="1"/>
      <c r="J165" s="1"/>
    </row>
    <row r="166" spans="2:10" x14ac:dyDescent="0.35">
      <c r="B166" s="1"/>
      <c r="C166" s="1"/>
      <c r="D166" s="1"/>
      <c r="E166" s="1"/>
      <c r="F166" s="1"/>
      <c r="G166" s="1"/>
      <c r="H166" s="1"/>
      <c r="I166" s="1"/>
      <c r="J166" s="1"/>
    </row>
    <row r="167" spans="2:10" x14ac:dyDescent="0.35">
      <c r="B167" s="1"/>
      <c r="C167" s="1"/>
      <c r="D167" s="1"/>
      <c r="E167" s="1"/>
      <c r="F167" s="1"/>
      <c r="G167" s="1"/>
      <c r="H167" s="1"/>
      <c r="I167" s="1"/>
      <c r="J167" s="1"/>
    </row>
    <row r="168" spans="2:10" x14ac:dyDescent="0.35">
      <c r="B168" s="1"/>
      <c r="C168" s="1"/>
      <c r="D168" s="1"/>
      <c r="E168" s="1"/>
      <c r="F168" s="1"/>
      <c r="G168" s="1"/>
      <c r="H168" s="1"/>
      <c r="I168" s="1"/>
      <c r="J168" s="1"/>
    </row>
    <row r="169" spans="2:10" x14ac:dyDescent="0.35">
      <c r="B169" s="1"/>
      <c r="C169" s="1"/>
      <c r="D169" s="1"/>
      <c r="E169" s="1"/>
      <c r="F169" s="1"/>
      <c r="G169" s="1"/>
      <c r="H169" s="1"/>
      <c r="I169" s="1"/>
      <c r="J169" s="1"/>
    </row>
    <row r="170" spans="2:10" x14ac:dyDescent="0.35">
      <c r="B170" s="1"/>
      <c r="C170" s="1"/>
      <c r="D170" s="1"/>
      <c r="E170" s="1"/>
      <c r="F170" s="1"/>
      <c r="G170" s="1"/>
      <c r="H170" s="1"/>
      <c r="I170" s="1"/>
      <c r="J170" s="1"/>
    </row>
    <row r="171" spans="2:10" x14ac:dyDescent="0.35">
      <c r="B171" s="1"/>
      <c r="C171" s="1"/>
      <c r="D171" s="1"/>
      <c r="E171" s="1"/>
      <c r="F171" s="1"/>
      <c r="G171" s="1"/>
      <c r="H171" s="1"/>
      <c r="I171" s="1"/>
      <c r="J171" s="1"/>
    </row>
    <row r="172" spans="2:10" x14ac:dyDescent="0.35">
      <c r="B172" s="1"/>
      <c r="C172" s="1"/>
      <c r="D172" s="1"/>
      <c r="E172" s="1"/>
      <c r="F172" s="1"/>
      <c r="G172" s="1"/>
      <c r="H172" s="1"/>
      <c r="I172" s="1"/>
      <c r="J172" s="1"/>
    </row>
    <row r="173" spans="2:10" x14ac:dyDescent="0.35">
      <c r="B173" s="1"/>
      <c r="C173" s="1"/>
      <c r="D173" s="1"/>
      <c r="E173" s="1"/>
      <c r="F173" s="1"/>
      <c r="G173" s="1"/>
      <c r="H173" s="1"/>
      <c r="I173" s="1"/>
      <c r="J173" s="1"/>
    </row>
    <row r="174" spans="2:10" x14ac:dyDescent="0.35">
      <c r="B174" s="1"/>
      <c r="C174" s="1"/>
      <c r="D174" s="1"/>
      <c r="E174" s="1"/>
      <c r="F174" s="1"/>
      <c r="G174" s="1"/>
      <c r="H174" s="1"/>
      <c r="I174" s="1"/>
      <c r="J174" s="1"/>
    </row>
    <row r="175" spans="2:10" x14ac:dyDescent="0.35">
      <c r="B175" s="1"/>
      <c r="C175" s="1"/>
      <c r="D175" s="1"/>
      <c r="E175" s="1"/>
      <c r="F175" s="1"/>
      <c r="G175" s="1"/>
      <c r="H175" s="1"/>
      <c r="I175" s="1"/>
      <c r="J175" s="1"/>
    </row>
    <row r="176" spans="2:10" x14ac:dyDescent="0.35">
      <c r="B176" s="1"/>
      <c r="C176" s="1"/>
      <c r="D176" s="1"/>
      <c r="E176" s="1"/>
      <c r="F176" s="1"/>
      <c r="G176" s="1"/>
      <c r="H176" s="1"/>
      <c r="I176" s="1"/>
      <c r="J176" s="1"/>
    </row>
    <row r="177" spans="2:10" x14ac:dyDescent="0.35">
      <c r="B177" s="1"/>
      <c r="C177" s="1"/>
      <c r="D177" s="1"/>
      <c r="E177" s="1"/>
      <c r="F177" s="1"/>
      <c r="G177" s="1"/>
      <c r="H177" s="1"/>
      <c r="I177" s="1"/>
      <c r="J177" s="1"/>
    </row>
    <row r="178" spans="2:10" x14ac:dyDescent="0.35">
      <c r="B178" s="1"/>
      <c r="C178" s="1"/>
      <c r="D178" s="1"/>
      <c r="E178" s="1"/>
      <c r="F178" s="1"/>
      <c r="G178" s="1"/>
      <c r="H178" s="1"/>
      <c r="I178" s="1"/>
      <c r="J178" s="1"/>
    </row>
    <row r="179" spans="2:10" x14ac:dyDescent="0.35">
      <c r="B179" s="1"/>
      <c r="C179" s="1"/>
      <c r="D179" s="1"/>
      <c r="E179" s="1"/>
      <c r="F179" s="1"/>
      <c r="G179" s="1"/>
      <c r="H179" s="1"/>
      <c r="I179" s="1"/>
      <c r="J179" s="1"/>
    </row>
    <row r="180" spans="2:10" x14ac:dyDescent="0.35">
      <c r="B180" s="1"/>
      <c r="C180" s="1"/>
      <c r="D180" s="1"/>
      <c r="E180" s="1"/>
      <c r="F180" s="1"/>
      <c r="G180" s="1"/>
      <c r="H180" s="1"/>
      <c r="I180" s="1"/>
      <c r="J180" s="1"/>
    </row>
    <row r="181" spans="2:10" x14ac:dyDescent="0.35">
      <c r="B181" s="1"/>
      <c r="C181" s="1"/>
      <c r="D181" s="1"/>
      <c r="E181" s="1"/>
      <c r="F181" s="1"/>
      <c r="G181" s="1"/>
      <c r="H181" s="1"/>
      <c r="I181" s="1"/>
      <c r="J181" s="1"/>
    </row>
    <row r="182" spans="2:10" x14ac:dyDescent="0.35">
      <c r="B182" s="1"/>
      <c r="C182" s="1"/>
      <c r="D182" s="1"/>
      <c r="E182" s="1"/>
      <c r="F182" s="1"/>
      <c r="G182" s="1"/>
      <c r="H182" s="1"/>
      <c r="I182" s="1"/>
      <c r="J182" s="1"/>
    </row>
    <row r="183" spans="2:10" x14ac:dyDescent="0.35">
      <c r="B183" s="1"/>
      <c r="C183" s="1"/>
      <c r="D183" s="1"/>
      <c r="E183" s="1"/>
      <c r="F183" s="1"/>
      <c r="G183" s="1"/>
      <c r="H183" s="1"/>
      <c r="I183" s="1"/>
      <c r="J183" s="1"/>
    </row>
    <row r="184" spans="2:10" x14ac:dyDescent="0.35">
      <c r="B184" s="1"/>
      <c r="C184" s="1"/>
      <c r="D184" s="1"/>
      <c r="E184" s="1"/>
      <c r="F184" s="1"/>
      <c r="G184" s="1"/>
      <c r="H184" s="1"/>
      <c r="I184" s="1"/>
      <c r="J184" s="1"/>
    </row>
    <row r="185" spans="2:10" x14ac:dyDescent="0.35">
      <c r="B185" s="1"/>
      <c r="C185" s="1"/>
      <c r="D185" s="1"/>
      <c r="E185" s="1"/>
      <c r="F185" s="1"/>
      <c r="G185" s="1"/>
      <c r="H185" s="1"/>
      <c r="I185" s="1"/>
      <c r="J185" s="1"/>
    </row>
    <row r="186" spans="2:10" x14ac:dyDescent="0.35">
      <c r="B186" s="1"/>
      <c r="C186" s="1"/>
      <c r="D186" s="1"/>
      <c r="E186" s="1"/>
      <c r="F186" s="1"/>
      <c r="G186" s="1"/>
      <c r="H186" s="1"/>
      <c r="I186" s="1"/>
      <c r="J186" s="1"/>
    </row>
    <row r="187" spans="2:10" x14ac:dyDescent="0.35">
      <c r="B187" s="1"/>
      <c r="C187" s="1"/>
      <c r="D187" s="1"/>
      <c r="E187" s="1"/>
      <c r="F187" s="1"/>
      <c r="G187" s="1"/>
      <c r="H187" s="1"/>
      <c r="I187" s="1"/>
      <c r="J187" s="1"/>
    </row>
    <row r="188" spans="2:10" x14ac:dyDescent="0.35">
      <c r="B188" s="1"/>
      <c r="C188" s="1"/>
      <c r="D188" s="1"/>
      <c r="E188" s="1"/>
      <c r="F188" s="1"/>
      <c r="G188" s="1"/>
      <c r="H188" s="1"/>
      <c r="I188" s="1"/>
      <c r="J188" s="1"/>
    </row>
    <row r="189" spans="2:10" x14ac:dyDescent="0.35">
      <c r="B189" s="1"/>
      <c r="C189" s="1"/>
      <c r="D189" s="1"/>
      <c r="E189" s="1"/>
      <c r="F189" s="1"/>
      <c r="G189" s="1"/>
      <c r="H189" s="1"/>
      <c r="I189" s="1"/>
      <c r="J189" s="1"/>
    </row>
    <row r="190" spans="2:10" x14ac:dyDescent="0.35">
      <c r="B190" s="1"/>
      <c r="C190" s="1"/>
      <c r="D190" s="1"/>
      <c r="E190" s="1"/>
      <c r="F190" s="1"/>
      <c r="G190" s="1"/>
      <c r="H190" s="1"/>
      <c r="I190" s="1"/>
      <c r="J190" s="1"/>
    </row>
    <row r="191" spans="2:10" x14ac:dyDescent="0.35">
      <c r="B191" s="1"/>
      <c r="C191" s="1"/>
      <c r="D191" s="1"/>
      <c r="E191" s="1"/>
      <c r="F191" s="1"/>
      <c r="G191" s="1"/>
      <c r="H191" s="1"/>
      <c r="I191" s="1"/>
      <c r="J191" s="1"/>
    </row>
    <row r="192" spans="2:10" x14ac:dyDescent="0.35">
      <c r="B192" s="1"/>
      <c r="C192" s="1"/>
      <c r="D192" s="1"/>
      <c r="E192" s="1"/>
      <c r="F192" s="1"/>
      <c r="G192" s="1"/>
      <c r="H192" s="1"/>
      <c r="I192" s="1"/>
      <c r="J192" s="1"/>
    </row>
    <row r="193" spans="2:10" x14ac:dyDescent="0.35">
      <c r="B193" s="1"/>
      <c r="C193" s="1"/>
      <c r="D193" s="1"/>
      <c r="E193" s="1"/>
      <c r="F193" s="1"/>
      <c r="G193" s="1"/>
      <c r="H193" s="1"/>
      <c r="I193" s="1"/>
      <c r="J193" s="1"/>
    </row>
    <row r="194" spans="2:10" x14ac:dyDescent="0.35">
      <c r="B194" s="1"/>
      <c r="C194" s="1"/>
      <c r="D194" s="1"/>
      <c r="E194" s="1"/>
      <c r="F194" s="1"/>
      <c r="G194" s="1"/>
      <c r="H194" s="1"/>
      <c r="I194" s="1"/>
      <c r="J194" s="1"/>
    </row>
    <row r="195" spans="2:10" x14ac:dyDescent="0.35">
      <c r="B195" s="1"/>
      <c r="C195" s="1"/>
      <c r="D195" s="1"/>
      <c r="E195" s="1"/>
      <c r="F195" s="1"/>
      <c r="G195" s="1"/>
      <c r="H195" s="1"/>
      <c r="I195" s="1"/>
      <c r="J195" s="1"/>
    </row>
    <row r="196" spans="2:10" x14ac:dyDescent="0.35">
      <c r="B196" s="1"/>
      <c r="C196" s="1"/>
      <c r="D196" s="1"/>
      <c r="E196" s="1"/>
      <c r="F196" s="1"/>
      <c r="G196" s="1"/>
      <c r="H196" s="1"/>
      <c r="I196" s="1"/>
      <c r="J196" s="1"/>
    </row>
    <row r="197" spans="2:10" x14ac:dyDescent="0.35">
      <c r="B197" s="1"/>
      <c r="C197" s="1"/>
      <c r="D197" s="1"/>
      <c r="E197" s="1"/>
      <c r="F197" s="1"/>
      <c r="G197" s="1"/>
      <c r="H197" s="1"/>
      <c r="I197" s="1"/>
      <c r="J197" s="1"/>
    </row>
    <row r="198" spans="2:10" x14ac:dyDescent="0.35">
      <c r="B198" s="1"/>
      <c r="C198" s="1"/>
      <c r="D198" s="1"/>
      <c r="E198" s="1"/>
      <c r="F198" s="1"/>
      <c r="G198" s="1"/>
      <c r="H198" s="1"/>
      <c r="I198" s="1"/>
      <c r="J198" s="1"/>
    </row>
    <row r="199" spans="2:10" x14ac:dyDescent="0.35">
      <c r="B199" s="1"/>
      <c r="C199" s="1"/>
      <c r="D199" s="1"/>
      <c r="E199" s="1"/>
      <c r="F199" s="1"/>
      <c r="G199" s="1"/>
      <c r="H199" s="1"/>
      <c r="I199" s="1"/>
      <c r="J199" s="1"/>
    </row>
    <row r="200" spans="2:10" x14ac:dyDescent="0.35">
      <c r="B200" s="1"/>
      <c r="C200" s="1"/>
      <c r="D200" s="1"/>
      <c r="E200" s="1"/>
      <c r="F200" s="1"/>
      <c r="G200" s="1"/>
      <c r="H200" s="1"/>
      <c r="I200" s="1"/>
      <c r="J200" s="1"/>
    </row>
    <row r="201" spans="2:10" x14ac:dyDescent="0.35">
      <c r="B201" s="1"/>
      <c r="C201" s="1"/>
      <c r="D201" s="1"/>
      <c r="E201" s="1"/>
      <c r="F201" s="1"/>
      <c r="G201" s="1"/>
      <c r="H201" s="1"/>
      <c r="I201" s="1"/>
      <c r="J201" s="1"/>
    </row>
    <row r="202" spans="2:10" x14ac:dyDescent="0.35">
      <c r="B202" s="1"/>
      <c r="C202" s="1"/>
      <c r="D202" s="1"/>
      <c r="E202" s="1"/>
      <c r="F202" s="1"/>
      <c r="G202" s="1"/>
      <c r="H202" s="1"/>
      <c r="I202" s="1"/>
      <c r="J202" s="1"/>
    </row>
    <row r="203" spans="2:10" x14ac:dyDescent="0.35">
      <c r="B203" s="1"/>
      <c r="C203" s="1"/>
      <c r="D203" s="1"/>
      <c r="E203" s="1"/>
      <c r="F203" s="1"/>
      <c r="G203" s="1"/>
      <c r="H203" s="1"/>
      <c r="I203" s="1"/>
      <c r="J203" s="1"/>
    </row>
    <row r="204" spans="2:10" x14ac:dyDescent="0.35">
      <c r="B204" s="1"/>
      <c r="C204" s="1"/>
      <c r="D204" s="1"/>
      <c r="E204" s="1"/>
      <c r="F204" s="1"/>
      <c r="G204" s="1"/>
      <c r="H204" s="1"/>
      <c r="I204" s="1"/>
      <c r="J204" s="1"/>
    </row>
    <row r="205" spans="2:10" x14ac:dyDescent="0.35">
      <c r="B205" s="1"/>
      <c r="C205" s="1"/>
      <c r="D205" s="1"/>
      <c r="E205" s="1"/>
      <c r="F205" s="1"/>
      <c r="G205" s="1"/>
      <c r="H205" s="1"/>
      <c r="I205" s="1"/>
      <c r="J205" s="1"/>
    </row>
    <row r="206" spans="2:10" x14ac:dyDescent="0.35">
      <c r="B206" s="1"/>
      <c r="C206" s="1"/>
      <c r="D206" s="1"/>
      <c r="E206" s="1"/>
      <c r="F206" s="1"/>
      <c r="G206" s="1"/>
      <c r="H206" s="1"/>
      <c r="I206" s="1"/>
      <c r="J206" s="1"/>
    </row>
    <row r="207" spans="2:10" x14ac:dyDescent="0.35">
      <c r="B207" s="1"/>
      <c r="C207" s="1"/>
      <c r="D207" s="1"/>
      <c r="E207" s="1"/>
      <c r="F207" s="1"/>
      <c r="G207" s="1"/>
      <c r="H207" s="1"/>
      <c r="I207" s="1"/>
      <c r="J207" s="1"/>
    </row>
    <row r="208" spans="2:10" x14ac:dyDescent="0.35">
      <c r="B208" s="1"/>
      <c r="C208" s="1"/>
      <c r="D208" s="1"/>
      <c r="E208" s="1"/>
      <c r="F208" s="1"/>
      <c r="G208" s="1"/>
      <c r="H208" s="1"/>
      <c r="I208" s="1"/>
      <c r="J208" s="1"/>
    </row>
    <row r="209" spans="2:10" x14ac:dyDescent="0.35">
      <c r="B209" s="1"/>
      <c r="C209" s="1"/>
      <c r="D209" s="1"/>
      <c r="E209" s="1"/>
      <c r="F209" s="1"/>
      <c r="G209" s="1"/>
      <c r="H209" s="1"/>
      <c r="I209" s="1"/>
      <c r="J209" s="1"/>
    </row>
    <row r="210" spans="2:10" x14ac:dyDescent="0.35">
      <c r="B210" s="1"/>
      <c r="C210" s="1"/>
      <c r="D210" s="1"/>
      <c r="E210" s="1"/>
      <c r="F210" s="1"/>
      <c r="G210" s="1"/>
      <c r="H210" s="1"/>
      <c r="I210" s="1"/>
      <c r="J210" s="1"/>
    </row>
    <row r="211" spans="2:10" x14ac:dyDescent="0.35">
      <c r="B211" s="1"/>
      <c r="C211" s="1"/>
      <c r="D211" s="1"/>
      <c r="E211" s="1"/>
      <c r="F211" s="1"/>
      <c r="G211" s="1"/>
      <c r="H211" s="1"/>
      <c r="I211" s="1"/>
      <c r="J211" s="1"/>
    </row>
    <row r="212" spans="2:10" x14ac:dyDescent="0.35">
      <c r="B212" s="1"/>
      <c r="C212" s="1"/>
      <c r="D212" s="1"/>
      <c r="E212" s="1"/>
      <c r="F212" s="1"/>
      <c r="G212" s="1"/>
      <c r="H212" s="1"/>
      <c r="I212" s="1"/>
      <c r="J212" s="1"/>
    </row>
    <row r="213" spans="2:10" x14ac:dyDescent="0.35">
      <c r="B213" s="1"/>
      <c r="C213" s="1"/>
      <c r="D213" s="1"/>
      <c r="E213" s="1"/>
      <c r="F213" s="1"/>
      <c r="G213" s="1"/>
      <c r="H213" s="1"/>
      <c r="I213" s="1"/>
      <c r="J213" s="1"/>
    </row>
    <row r="214" spans="2:10" x14ac:dyDescent="0.35">
      <c r="B214" s="1"/>
      <c r="C214" s="1"/>
      <c r="D214" s="1"/>
      <c r="E214" s="1"/>
      <c r="F214" s="1"/>
      <c r="G214" s="1"/>
      <c r="H214" s="1"/>
      <c r="I214" s="1"/>
      <c r="J214" s="1"/>
    </row>
    <row r="215" spans="2:10" x14ac:dyDescent="0.35">
      <c r="B215" s="1"/>
      <c r="C215" s="1"/>
      <c r="D215" s="1"/>
      <c r="E215" s="1"/>
      <c r="F215" s="1"/>
      <c r="G215" s="1"/>
      <c r="H215" s="1"/>
      <c r="I215" s="1"/>
      <c r="J215" s="1"/>
    </row>
    <row r="216" spans="2:10" x14ac:dyDescent="0.35">
      <c r="B216" s="1"/>
      <c r="C216" s="1"/>
      <c r="D216" s="1"/>
      <c r="E216" s="1"/>
      <c r="F216" s="1"/>
      <c r="G216" s="1"/>
      <c r="H216" s="1"/>
      <c r="I216" s="1"/>
      <c r="J216" s="1"/>
    </row>
    <row r="217" spans="2:10" x14ac:dyDescent="0.35">
      <c r="B217" s="1"/>
      <c r="C217" s="1"/>
      <c r="D217" s="1"/>
      <c r="E217" s="1"/>
      <c r="F217" s="1"/>
      <c r="G217" s="1"/>
      <c r="H217" s="1"/>
      <c r="I217" s="1"/>
      <c r="J217" s="1"/>
    </row>
    <row r="218" spans="2:10" x14ac:dyDescent="0.35">
      <c r="B218" s="1"/>
      <c r="C218" s="1"/>
      <c r="D218" s="1"/>
      <c r="E218" s="1"/>
      <c r="F218" s="1"/>
      <c r="G218" s="1"/>
      <c r="H218" s="1"/>
      <c r="I218" s="1"/>
      <c r="J218" s="1"/>
    </row>
    <row r="219" spans="2:10" x14ac:dyDescent="0.35">
      <c r="B219" s="1"/>
      <c r="C219" s="1"/>
      <c r="D219" s="1"/>
      <c r="E219" s="1"/>
      <c r="F219" s="1"/>
      <c r="G219" s="1"/>
      <c r="H219" s="1"/>
      <c r="I219" s="1"/>
      <c r="J219" s="1"/>
    </row>
    <row r="220" spans="2:10" x14ac:dyDescent="0.35">
      <c r="B220" s="1"/>
      <c r="C220" s="1"/>
      <c r="D220" s="1"/>
      <c r="E220" s="1"/>
      <c r="F220" s="1"/>
      <c r="G220" s="1"/>
      <c r="H220" s="1"/>
      <c r="I220" s="1"/>
      <c r="J220" s="1"/>
    </row>
    <row r="221" spans="2:10" x14ac:dyDescent="0.35">
      <c r="B221" s="1"/>
      <c r="C221" s="1"/>
      <c r="D221" s="1"/>
      <c r="E221" s="1"/>
      <c r="F221" s="1"/>
      <c r="G221" s="1"/>
      <c r="H221" s="1"/>
      <c r="I221" s="1"/>
      <c r="J221" s="1"/>
    </row>
    <row r="222" spans="2:10" x14ac:dyDescent="0.35">
      <c r="B222" s="1"/>
      <c r="C222" s="1"/>
      <c r="D222" s="1"/>
      <c r="E222" s="1"/>
      <c r="F222" s="1"/>
      <c r="G222" s="1"/>
      <c r="H222" s="1"/>
      <c r="I222" s="1"/>
      <c r="J222" s="1"/>
    </row>
    <row r="223" spans="2:10" x14ac:dyDescent="0.35">
      <c r="B223" s="1"/>
      <c r="C223" s="1"/>
      <c r="D223" s="1"/>
      <c r="E223" s="1"/>
      <c r="F223" s="1"/>
      <c r="G223" s="1"/>
      <c r="H223" s="1"/>
      <c r="I223" s="1"/>
      <c r="J223" s="1"/>
    </row>
    <row r="224" spans="2:10" x14ac:dyDescent="0.35">
      <c r="B224" s="1"/>
      <c r="C224" s="1"/>
      <c r="D224" s="1"/>
      <c r="E224" s="1"/>
      <c r="F224" s="1"/>
      <c r="G224" s="1"/>
      <c r="H224" s="1"/>
      <c r="I224" s="1"/>
      <c r="J224" s="1"/>
    </row>
    <row r="225" spans="2:10" x14ac:dyDescent="0.35">
      <c r="B225" s="1"/>
      <c r="C225" s="1"/>
      <c r="D225" s="1"/>
      <c r="E225" s="1"/>
      <c r="F225" s="1"/>
      <c r="G225" s="1"/>
      <c r="H225" s="1"/>
      <c r="I225" s="1"/>
      <c r="J225" s="1"/>
    </row>
  </sheetData>
  <mergeCells count="3">
    <mergeCell ref="C4:C5"/>
    <mergeCell ref="E4:J4"/>
    <mergeCell ref="C11:C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5"/>
  <sheetViews>
    <sheetView zoomScale="85" zoomScaleNormal="85" workbookViewId="0">
      <selection activeCell="B4" sqref="B4"/>
    </sheetView>
  </sheetViews>
  <sheetFormatPr baseColWidth="10" defaultColWidth="11.453125" defaultRowHeight="14.5" x14ac:dyDescent="0.35"/>
  <cols>
    <col min="1" max="1" width="11.453125" style="1"/>
    <col min="2" max="2" width="55.54296875" style="1" customWidth="1"/>
    <col min="3" max="16384" width="11.453125" style="1"/>
  </cols>
  <sheetData>
    <row r="2" spans="2:14" x14ac:dyDescent="0.35">
      <c r="B2" s="76" t="s">
        <v>142</v>
      </c>
    </row>
    <row r="4" spans="2:14" ht="31.5" customHeight="1" x14ac:dyDescent="0.35">
      <c r="F4" s="91" t="s">
        <v>46</v>
      </c>
      <c r="G4" s="91"/>
      <c r="H4" s="91"/>
      <c r="I4" s="92" t="s">
        <v>14</v>
      </c>
      <c r="J4" s="92"/>
      <c r="K4" s="92"/>
      <c r="L4" s="92" t="s">
        <v>19</v>
      </c>
      <c r="M4" s="92"/>
      <c r="N4" s="92"/>
    </row>
    <row r="5" spans="2:14" x14ac:dyDescent="0.35">
      <c r="B5" s="21" t="s">
        <v>15</v>
      </c>
      <c r="C5" s="21" t="s">
        <v>64</v>
      </c>
      <c r="D5" s="21" t="s">
        <v>65</v>
      </c>
      <c r="E5" s="21" t="s">
        <v>70</v>
      </c>
    </row>
    <row r="6" spans="2:14" x14ac:dyDescent="0.35">
      <c r="B6" s="21" t="s">
        <v>71</v>
      </c>
      <c r="C6" s="36">
        <v>1.4030612244897958</v>
      </c>
      <c r="D6" s="36">
        <v>1.9810267857142856</v>
      </c>
      <c r="E6" s="36">
        <v>-0.84682440846824403</v>
      </c>
    </row>
    <row r="7" spans="2:14" x14ac:dyDescent="0.35">
      <c r="B7" s="21" t="s">
        <v>72</v>
      </c>
      <c r="C7" s="36">
        <v>0.15943877551020408</v>
      </c>
      <c r="D7" s="36">
        <v>0.58593749999999989</v>
      </c>
      <c r="E7" s="36">
        <v>0.17434620174346199</v>
      </c>
    </row>
    <row r="8" spans="2:14" x14ac:dyDescent="0.35">
      <c r="B8" s="21" t="s">
        <v>75</v>
      </c>
      <c r="C8" s="36">
        <v>12.723214285714285</v>
      </c>
      <c r="D8" s="36">
        <v>9.4587053571428559</v>
      </c>
      <c r="E8" s="36">
        <v>7.5217932752179317</v>
      </c>
    </row>
    <row r="9" spans="2:14" x14ac:dyDescent="0.35">
      <c r="B9" s="21" t="s">
        <v>16</v>
      </c>
      <c r="C9" s="36">
        <v>14.285714285714285</v>
      </c>
      <c r="D9" s="36">
        <v>12.025669642857142</v>
      </c>
      <c r="E9" s="36">
        <v>6.8493150684931505</v>
      </c>
    </row>
    <row r="11" spans="2:14" x14ac:dyDescent="0.35">
      <c r="B11" s="21" t="s">
        <v>73</v>
      </c>
      <c r="C11" s="21" t="s">
        <v>64</v>
      </c>
      <c r="D11" s="21" t="s">
        <v>65</v>
      </c>
      <c r="E11" s="21" t="s">
        <v>70</v>
      </c>
    </row>
    <row r="12" spans="2:14" x14ac:dyDescent="0.35">
      <c r="B12" s="21" t="s">
        <v>71</v>
      </c>
      <c r="C12" s="36">
        <v>6.3619291897586221</v>
      </c>
      <c r="D12" s="36">
        <v>3.0779038999884958</v>
      </c>
      <c r="E12" s="36">
        <v>5.6292740263044717E-3</v>
      </c>
    </row>
    <row r="13" spans="2:14" x14ac:dyDescent="0.35">
      <c r="B13" s="21" t="s">
        <v>72</v>
      </c>
      <c r="C13" s="36">
        <v>1.4726762779494611</v>
      </c>
      <c r="D13" s="36">
        <v>2.0485005943935271</v>
      </c>
      <c r="E13" s="36">
        <v>1.3789469654835431</v>
      </c>
    </row>
    <row r="14" spans="2:14" x14ac:dyDescent="0.35">
      <c r="B14" s="21" t="s">
        <v>75</v>
      </c>
      <c r="C14" s="36">
        <v>4.5780671999482694</v>
      </c>
      <c r="D14" s="36">
        <v>1.3148560033746215</v>
      </c>
      <c r="E14" s="36">
        <v>-9.8399709979802172E-2</v>
      </c>
    </row>
    <row r="15" spans="2:14" x14ac:dyDescent="0.35">
      <c r="B15" s="21" t="s">
        <v>16</v>
      </c>
      <c r="C15" s="36">
        <v>12.412672667656354</v>
      </c>
      <c r="D15" s="36">
        <v>6.4412604977566446</v>
      </c>
      <c r="E15" s="36">
        <v>1.2861765295300456</v>
      </c>
    </row>
    <row r="17" spans="2:6" x14ac:dyDescent="0.35">
      <c r="B17" s="21" t="s">
        <v>14</v>
      </c>
      <c r="C17" s="21" t="s">
        <v>64</v>
      </c>
      <c r="D17" s="21" t="s">
        <v>65</v>
      </c>
      <c r="E17" s="21" t="s">
        <v>70</v>
      </c>
    </row>
    <row r="18" spans="2:6" x14ac:dyDescent="0.35">
      <c r="B18" s="21" t="s">
        <v>71</v>
      </c>
      <c r="C18" s="36">
        <v>1.9795405971821634</v>
      </c>
      <c r="D18" s="36">
        <v>1.5049852045912886</v>
      </c>
      <c r="E18" s="36">
        <v>1.4717870949079148</v>
      </c>
    </row>
    <row r="19" spans="2:6" x14ac:dyDescent="0.35">
      <c r="B19" s="21" t="s">
        <v>72</v>
      </c>
      <c r="C19" s="36">
        <v>0.47309775278567429</v>
      </c>
      <c r="D19" s="36">
        <v>1.4013231053395403</v>
      </c>
      <c r="E19" s="36">
        <v>0.97213334618992109</v>
      </c>
    </row>
    <row r="20" spans="2:6" x14ac:dyDescent="0.35">
      <c r="B20" s="21" t="s">
        <v>75</v>
      </c>
      <c r="C20" s="36">
        <v>7.6401137094598806</v>
      </c>
      <c r="D20" s="36">
        <v>4.5997700586162056</v>
      </c>
      <c r="E20" s="36">
        <v>4.8887174677197383</v>
      </c>
      <c r="F20" s="58">
        <f>2/7</f>
        <v>0.2857142857142857</v>
      </c>
    </row>
    <row r="21" spans="2:6" x14ac:dyDescent="0.35">
      <c r="B21" s="21" t="s">
        <v>16</v>
      </c>
      <c r="C21" s="36">
        <v>10.092752059427717</v>
      </c>
      <c r="D21" s="36">
        <v>7.5060783685470343</v>
      </c>
      <c r="E21" s="36">
        <v>7.3326379088175742</v>
      </c>
    </row>
    <row r="23" spans="2:6" x14ac:dyDescent="0.35">
      <c r="B23" s="70" t="s">
        <v>129</v>
      </c>
    </row>
    <row r="24" spans="2:6" x14ac:dyDescent="0.35">
      <c r="B24" s="70" t="s">
        <v>127</v>
      </c>
    </row>
    <row r="25" spans="2:6" x14ac:dyDescent="0.35">
      <c r="B25" s="77" t="s">
        <v>128</v>
      </c>
    </row>
  </sheetData>
  <mergeCells count="3">
    <mergeCell ref="F4:H4"/>
    <mergeCell ref="I4:K4"/>
    <mergeCell ref="L4:N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1"/>
  <sheetViews>
    <sheetView zoomScale="70" zoomScaleNormal="70" workbookViewId="0">
      <selection activeCell="B37" sqref="B37"/>
    </sheetView>
  </sheetViews>
  <sheetFormatPr baseColWidth="10" defaultColWidth="11.453125" defaultRowHeight="14.5" x14ac:dyDescent="0.35"/>
  <cols>
    <col min="1" max="1" width="11.453125" style="1"/>
    <col min="2" max="2" width="39.81640625" style="1" customWidth="1"/>
    <col min="3" max="16384" width="11.453125" style="1"/>
  </cols>
  <sheetData>
    <row r="1" spans="1:21" x14ac:dyDescent="0.3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21" x14ac:dyDescent="0.35">
      <c r="A2" s="20"/>
      <c r="B2" s="104" t="s">
        <v>143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21" x14ac:dyDescent="0.3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spans="1:21" ht="18.5" x14ac:dyDescent="0.35">
      <c r="A4" s="20"/>
      <c r="B4" s="118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5" spans="1:21" x14ac:dyDescent="0.3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</row>
    <row r="6" spans="1:21" x14ac:dyDescent="0.3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</row>
    <row r="7" spans="1:21" x14ac:dyDescent="0.3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spans="1:21" x14ac:dyDescent="0.3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</row>
    <row r="9" spans="1:21" x14ac:dyDescent="0.3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</row>
    <row r="10" spans="1:21" x14ac:dyDescent="0.3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</row>
    <row r="11" spans="1:21" x14ac:dyDescent="0.3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</row>
    <row r="12" spans="1:21" x14ac:dyDescent="0.3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 spans="1:21" x14ac:dyDescent="0.3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</row>
    <row r="14" spans="1:21" x14ac:dyDescent="0.3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spans="1:21" x14ac:dyDescent="0.3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spans="1:21" x14ac:dyDescent="0.3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spans="1:21" x14ac:dyDescent="0.3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spans="1:21" x14ac:dyDescent="0.3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spans="1:21" x14ac:dyDescent="0.3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</row>
    <row r="20" spans="1:21" x14ac:dyDescent="0.3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spans="1:21" x14ac:dyDescent="0.3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 spans="1:21" x14ac:dyDescent="0.3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spans="1:21" x14ac:dyDescent="0.3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spans="1:21" x14ac:dyDescent="0.3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spans="1:21" x14ac:dyDescent="0.3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</row>
    <row r="26" spans="1:21" x14ac:dyDescent="0.3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spans="1:21" x14ac:dyDescent="0.3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spans="1:21" x14ac:dyDescent="0.3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spans="1:21" x14ac:dyDescent="0.3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spans="1:21" x14ac:dyDescent="0.3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spans="1:21" x14ac:dyDescent="0.3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</row>
    <row r="32" spans="1:21" x14ac:dyDescent="0.3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 spans="1:21" x14ac:dyDescent="0.3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spans="1:21" ht="14.5" customHeight="1" x14ac:dyDescent="0.3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spans="1:21" x14ac:dyDescent="0.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spans="1:21" ht="14.5" customHeight="1" x14ac:dyDescent="0.35">
      <c r="A36" s="20"/>
      <c r="B36" s="119" t="s">
        <v>144</v>
      </c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20"/>
      <c r="P36" s="20"/>
      <c r="Q36" s="20"/>
      <c r="R36" s="20"/>
      <c r="S36" s="20"/>
      <c r="T36" s="20"/>
      <c r="U36" s="20"/>
    </row>
    <row r="37" spans="1:21" ht="14.5" customHeight="1" x14ac:dyDescent="0.35">
      <c r="A37" s="20"/>
      <c r="B37" s="119" t="s">
        <v>124</v>
      </c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20"/>
      <c r="P37" s="20"/>
      <c r="Q37" s="20"/>
      <c r="R37" s="20"/>
      <c r="S37" s="20"/>
      <c r="T37" s="20"/>
      <c r="U37" s="20"/>
    </row>
    <row r="38" spans="1:21" ht="15.5" x14ac:dyDescent="0.35">
      <c r="A38" s="20"/>
      <c r="B38" s="119" t="s">
        <v>125</v>
      </c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20"/>
      <c r="P38" s="20"/>
      <c r="Q38" s="20"/>
      <c r="R38" s="20"/>
      <c r="S38" s="20"/>
      <c r="T38" s="20"/>
      <c r="U38" s="20"/>
    </row>
    <row r="39" spans="1:21" ht="15.5" x14ac:dyDescent="0.35">
      <c r="A39" s="20"/>
      <c r="B39" s="122" t="s">
        <v>126</v>
      </c>
      <c r="O39" s="20"/>
      <c r="P39" s="20"/>
      <c r="Q39" s="20"/>
      <c r="R39" s="20"/>
      <c r="S39" s="20"/>
      <c r="T39" s="20"/>
      <c r="U39" s="20"/>
    </row>
    <row r="40" spans="1:21" x14ac:dyDescent="0.35">
      <c r="A40" s="20"/>
      <c r="B40" s="123"/>
      <c r="O40" s="20"/>
      <c r="P40" s="20"/>
      <c r="Q40" s="20"/>
      <c r="R40" s="20"/>
      <c r="S40" s="20"/>
      <c r="T40" s="20"/>
      <c r="U40" s="20"/>
    </row>
    <row r="41" spans="1:21" x14ac:dyDescent="0.3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spans="1:21" x14ac:dyDescent="0.3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spans="1:21" x14ac:dyDescent="0.35">
      <c r="A43" s="20"/>
      <c r="B43" s="124" t="s">
        <v>21</v>
      </c>
      <c r="C43" s="125" t="s">
        <v>22</v>
      </c>
      <c r="D43" s="126" t="s">
        <v>23</v>
      </c>
      <c r="E43" s="126" t="s">
        <v>24</v>
      </c>
      <c r="F43" s="126" t="s">
        <v>25</v>
      </c>
      <c r="G43" s="126" t="s">
        <v>26</v>
      </c>
      <c r="H43" s="126" t="s">
        <v>27</v>
      </c>
      <c r="I43" s="126" t="s">
        <v>28</v>
      </c>
      <c r="J43" s="126" t="s">
        <v>29</v>
      </c>
      <c r="K43" s="127" t="s">
        <v>95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</row>
    <row r="44" spans="1:21" x14ac:dyDescent="0.35">
      <c r="A44" s="20"/>
      <c r="B44" s="128" t="s">
        <v>30</v>
      </c>
      <c r="C44" s="129">
        <v>0.43834877583649601</v>
      </c>
      <c r="D44" s="130">
        <v>0.44385383225444303</v>
      </c>
      <c r="E44" s="130">
        <v>0.43794462888309199</v>
      </c>
      <c r="F44" s="130">
        <v>0.419565101954121</v>
      </c>
      <c r="G44" s="130">
        <v>0.39233872536937803</v>
      </c>
      <c r="H44" s="130">
        <v>0.36031540177413501</v>
      </c>
      <c r="I44" s="130">
        <v>0.363844544546431</v>
      </c>
      <c r="J44" s="130">
        <v>0.34773271154200203</v>
      </c>
      <c r="K44" s="131">
        <v>0.34461468099702702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spans="1:21" x14ac:dyDescent="0.35">
      <c r="A45" s="20"/>
      <c r="B45" s="132" t="s">
        <v>31</v>
      </c>
      <c r="C45" s="133">
        <v>9.9474120162579699E-2</v>
      </c>
      <c r="D45" s="134">
        <v>9.7626440713646706E-2</v>
      </c>
      <c r="E45" s="134">
        <v>9.3668484704766394E-2</v>
      </c>
      <c r="F45" s="134">
        <v>9.4108432455395102E-2</v>
      </c>
      <c r="G45" s="134">
        <v>8.7872459105708997E-2</v>
      </c>
      <c r="H45" s="134">
        <v>8.9007625667894399E-2</v>
      </c>
      <c r="I45" s="134">
        <v>8.8263565599261198E-2</v>
      </c>
      <c r="J45" s="134">
        <v>8.8596498917416902E-2</v>
      </c>
      <c r="K45" s="135">
        <v>8.8113749959165003E-2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spans="1:21" x14ac:dyDescent="0.35">
      <c r="A46" s="20"/>
      <c r="B46" s="132" t="s">
        <v>32</v>
      </c>
      <c r="C46" s="133">
        <v>7.7437250784967201E-2</v>
      </c>
      <c r="D46" s="134">
        <v>7.6118800764871999E-2</v>
      </c>
      <c r="E46" s="134">
        <v>7.7765591652833796E-2</v>
      </c>
      <c r="F46" s="134">
        <v>7.4779630416312706E-2</v>
      </c>
      <c r="G46" s="134">
        <v>7.1527714719350405E-2</v>
      </c>
      <c r="H46" s="134">
        <v>7.3320537428022997E-2</v>
      </c>
      <c r="I46" s="134">
        <v>7.2280754660082505E-2</v>
      </c>
      <c r="J46" s="134">
        <v>7.4834106189570399E-2</v>
      </c>
      <c r="K46" s="135">
        <v>7.3576492110679195E-2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spans="1:21" x14ac:dyDescent="0.35">
      <c r="A47" s="20"/>
      <c r="B47" s="132" t="s">
        <v>33</v>
      </c>
      <c r="C47" s="133">
        <v>9.5621520621039E-2</v>
      </c>
      <c r="D47" s="134">
        <v>8.7732224619756896E-2</v>
      </c>
      <c r="E47" s="134">
        <v>9.1919611097936907E-2</v>
      </c>
      <c r="F47" s="134">
        <v>9.2674702633814804E-2</v>
      </c>
      <c r="G47" s="134">
        <v>9.3580147621580206E-2</v>
      </c>
      <c r="H47" s="134">
        <v>8.7181615396586601E-2</v>
      </c>
      <c r="I47" s="134">
        <v>8.9677139679966794E-2</v>
      </c>
      <c r="J47" s="134">
        <v>9.3847246206576099E-2</v>
      </c>
      <c r="K47" s="135">
        <v>9.2066577374146502E-2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spans="1:21" x14ac:dyDescent="0.35">
      <c r="A48" s="20"/>
      <c r="B48" s="132" t="s">
        <v>34</v>
      </c>
      <c r="C48" s="133">
        <v>9.40997438021305E-2</v>
      </c>
      <c r="D48" s="134">
        <v>9.1591670613827295E-2</v>
      </c>
      <c r="E48" s="134">
        <v>9.2660659236423998E-2</v>
      </c>
      <c r="F48" s="134">
        <v>9.5197005097705997E-2</v>
      </c>
      <c r="G48" s="134">
        <v>0.10087042249867</v>
      </c>
      <c r="H48" s="134">
        <v>9.8002801265757097E-2</v>
      </c>
      <c r="I48" s="134">
        <v>9.6339785513692794E-2</v>
      </c>
      <c r="J48" s="134">
        <v>0.10297250151211</v>
      </c>
      <c r="K48" s="135">
        <v>0.104570252523603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 spans="1:22" x14ac:dyDescent="0.35">
      <c r="A49" s="20"/>
      <c r="B49" s="132" t="s">
        <v>35</v>
      </c>
      <c r="C49" s="133">
        <v>0.100283166066303</v>
      </c>
      <c r="D49" s="134">
        <v>9.8766731575531105E-2</v>
      </c>
      <c r="E49" s="134">
        <v>0.102427673701684</v>
      </c>
      <c r="F49" s="134">
        <v>0.105578271028037</v>
      </c>
      <c r="G49" s="134">
        <v>0.116371985627003</v>
      </c>
      <c r="H49" s="134">
        <v>0.124365824557763</v>
      </c>
      <c r="I49" s="134">
        <v>0.121831238102418</v>
      </c>
      <c r="J49" s="134">
        <v>0.121275607254622</v>
      </c>
      <c r="K49" s="135">
        <v>0.124718238541701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</row>
    <row r="50" spans="1:22" x14ac:dyDescent="0.35">
      <c r="A50" s="20"/>
      <c r="B50" s="132" t="s">
        <v>36</v>
      </c>
      <c r="C50" s="136">
        <v>9.4735422726484705E-2</v>
      </c>
      <c r="D50" s="137">
        <v>0.104310299457923</v>
      </c>
      <c r="E50" s="137">
        <v>0.103613350723263</v>
      </c>
      <c r="F50" s="137">
        <v>0.118096856414613</v>
      </c>
      <c r="G50" s="137">
        <v>0.13743854505830899</v>
      </c>
      <c r="H50" s="137">
        <v>0.167806193909841</v>
      </c>
      <c r="I50" s="137">
        <v>0.16776297189814701</v>
      </c>
      <c r="J50" s="137">
        <v>0.17074132837770301</v>
      </c>
      <c r="K50" s="138">
        <v>0.172340008493679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 spans="1:22" x14ac:dyDescent="0.35">
      <c r="A51" s="20"/>
      <c r="B51" s="139" t="s">
        <v>37</v>
      </c>
      <c r="C51" s="140">
        <f>SUM(C44:C45)</f>
        <v>0.53782289599907573</v>
      </c>
      <c r="D51" s="141">
        <f t="shared" ref="D51:J51" si="0">SUM(D44:D45)</f>
        <v>0.54148027296808976</v>
      </c>
      <c r="E51" s="141">
        <f t="shared" si="0"/>
        <v>0.53161311358785834</v>
      </c>
      <c r="F51" s="141">
        <f t="shared" si="0"/>
        <v>0.51367353440951613</v>
      </c>
      <c r="G51" s="141">
        <f t="shared" si="0"/>
        <v>0.48021118447508704</v>
      </c>
      <c r="H51" s="141">
        <f t="shared" si="0"/>
        <v>0.4493230274420294</v>
      </c>
      <c r="I51" s="141">
        <f t="shared" si="0"/>
        <v>0.45210811014569219</v>
      </c>
      <c r="J51" s="142">
        <f t="shared" si="0"/>
        <v>0.43632921045941891</v>
      </c>
      <c r="K51" s="143">
        <f>SUM(K44:K45)</f>
        <v>0.43272843095619201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spans="1:22" x14ac:dyDescent="0.35">
      <c r="B52" s="144" t="s">
        <v>38</v>
      </c>
      <c r="C52" s="145">
        <f>SUM(C48:C50)</f>
        <v>0.2891183325949182</v>
      </c>
      <c r="D52" s="146">
        <f t="shared" ref="D52:J52" si="1">SUM(D48:D50)</f>
        <v>0.29466870164728143</v>
      </c>
      <c r="E52" s="146">
        <f t="shared" si="1"/>
        <v>0.29870168366137101</v>
      </c>
      <c r="F52" s="146">
        <f t="shared" si="1"/>
        <v>0.31887213254035601</v>
      </c>
      <c r="G52" s="146">
        <f t="shared" si="1"/>
        <v>0.35468095318398196</v>
      </c>
      <c r="H52" s="146">
        <f t="shared" si="1"/>
        <v>0.3901748197333611</v>
      </c>
      <c r="I52" s="146">
        <f t="shared" si="1"/>
        <v>0.38593399551425778</v>
      </c>
      <c r="J52" s="146">
        <f t="shared" si="1"/>
        <v>0.39498943714443502</v>
      </c>
      <c r="K52" s="147">
        <f>SUM(K48:K50)</f>
        <v>0.401628499558983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spans="1:22" x14ac:dyDescent="0.35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spans="1:22" x14ac:dyDescent="0.35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</row>
    <row r="55" spans="1:22" x14ac:dyDescent="0.35"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</row>
    <row r="56" spans="1:22" x14ac:dyDescent="0.35"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</row>
    <row r="57" spans="1:22" x14ac:dyDescent="0.35"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</row>
    <row r="58" spans="1:22" x14ac:dyDescent="0.35"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</row>
    <row r="59" spans="1:22" x14ac:dyDescent="0.35"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spans="1:22" x14ac:dyDescent="0.35"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</row>
    <row r="61" spans="1:22" x14ac:dyDescent="0.35"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Y139"/>
  <sheetViews>
    <sheetView zoomScale="85" zoomScaleNormal="85" workbookViewId="0">
      <selection activeCell="L24" sqref="L24"/>
    </sheetView>
  </sheetViews>
  <sheetFormatPr baseColWidth="10" defaultColWidth="10.81640625" defaultRowHeight="14.5" x14ac:dyDescent="0.35"/>
  <cols>
    <col min="1" max="1" width="2.7265625" style="1" customWidth="1"/>
    <col min="2" max="2" width="57.54296875" style="1" customWidth="1"/>
    <col min="3" max="12" width="12.453125" style="1" bestFit="1" customWidth="1"/>
    <col min="13" max="16384" width="10.81640625" style="1"/>
  </cols>
  <sheetData>
    <row r="2" spans="2:12" x14ac:dyDescent="0.35">
      <c r="B2" s="76" t="s">
        <v>145</v>
      </c>
    </row>
    <row r="4" spans="2:12" ht="29" x14ac:dyDescent="0.35">
      <c r="B4" s="59"/>
      <c r="C4" s="60" t="s">
        <v>76</v>
      </c>
      <c r="D4" s="60" t="s">
        <v>77</v>
      </c>
      <c r="E4" s="60" t="s">
        <v>78</v>
      </c>
      <c r="F4" s="60" t="s">
        <v>79</v>
      </c>
      <c r="G4" s="60" t="s">
        <v>80</v>
      </c>
      <c r="H4" s="60" t="s">
        <v>81</v>
      </c>
      <c r="I4" s="60" t="s">
        <v>82</v>
      </c>
      <c r="J4" s="60" t="s">
        <v>83</v>
      </c>
      <c r="K4" s="60" t="s">
        <v>84</v>
      </c>
      <c r="L4" s="60" t="s">
        <v>85</v>
      </c>
    </row>
    <row r="5" spans="2:12" x14ac:dyDescent="0.35">
      <c r="B5" s="35" t="s">
        <v>18</v>
      </c>
      <c r="C5" s="36">
        <v>49.882642021491179</v>
      </c>
      <c r="D5" s="36">
        <f>100-C5</f>
        <v>50.117357978508821</v>
      </c>
      <c r="E5" s="61">
        <v>7.9897730904442313E-2</v>
      </c>
      <c r="F5" s="61">
        <v>0.68188129030906008</v>
      </c>
      <c r="G5" s="61">
        <v>20.857237162661303</v>
      </c>
      <c r="H5" s="61">
        <v>23.688498394186588</v>
      </c>
      <c r="I5" s="61">
        <v>22.704053565534476</v>
      </c>
      <c r="J5" s="61">
        <v>31.98843185640413</v>
      </c>
      <c r="K5" s="61">
        <v>90.740507887608786</v>
      </c>
      <c r="L5" s="61">
        <f>100-K5</f>
        <v>9.2594921123912144</v>
      </c>
    </row>
    <row r="6" spans="2:12" x14ac:dyDescent="0.35">
      <c r="B6" s="35" t="s">
        <v>9</v>
      </c>
      <c r="C6" s="36">
        <v>46.352942386725445</v>
      </c>
      <c r="D6" s="36">
        <f t="shared" ref="D6:D19" si="0">100-C6</f>
        <v>53.647057613274555</v>
      </c>
      <c r="E6" s="61">
        <v>8.2297329966000907E-2</v>
      </c>
      <c r="F6" s="61">
        <v>0.54419109440018099</v>
      </c>
      <c r="G6" s="61">
        <v>18.271035969076781</v>
      </c>
      <c r="H6" s="61">
        <v>30.740110175550495</v>
      </c>
      <c r="I6" s="61">
        <v>27.884392825730259</v>
      </c>
      <c r="J6" s="61">
        <v>22.477972605276285</v>
      </c>
      <c r="K6" s="36">
        <v>91.202415426634502</v>
      </c>
      <c r="L6" s="61">
        <f t="shared" ref="L6:L19" si="1">100-K6</f>
        <v>8.7975845733654978</v>
      </c>
    </row>
    <row r="7" spans="2:12" x14ac:dyDescent="0.35">
      <c r="B7" s="35" t="s">
        <v>42</v>
      </c>
      <c r="C7" s="36">
        <v>40.142733502646102</v>
      </c>
      <c r="D7" s="36">
        <f t="shared" si="0"/>
        <v>59.857266497353898</v>
      </c>
      <c r="E7" s="61">
        <v>6.8103460507087016E-2</v>
      </c>
      <c r="F7" s="61">
        <v>0.25396915480767868</v>
      </c>
      <c r="G7" s="61">
        <v>22.765000496587735</v>
      </c>
      <c r="H7" s="61">
        <v>30.635206651437976</v>
      </c>
      <c r="I7" s="61">
        <v>27.909649409060599</v>
      </c>
      <c r="J7" s="61">
        <v>18.368070827598928</v>
      </c>
      <c r="K7" s="61">
        <v>92.15107617655822</v>
      </c>
      <c r="L7" s="61">
        <f t="shared" si="1"/>
        <v>7.8489238234417797</v>
      </c>
    </row>
    <row r="8" spans="2:12" x14ac:dyDescent="0.35">
      <c r="B8" s="35" t="s">
        <v>41</v>
      </c>
      <c r="C8" s="36">
        <v>34.848787328421942</v>
      </c>
      <c r="D8" s="36">
        <f t="shared" si="0"/>
        <v>65.151212671578065</v>
      </c>
      <c r="E8" s="61">
        <v>0.10030529816480258</v>
      </c>
      <c r="F8" s="61">
        <v>0.28289989433859369</v>
      </c>
      <c r="G8" s="61">
        <v>27.345366722986959</v>
      </c>
      <c r="H8" s="61">
        <v>33.660705155984481</v>
      </c>
      <c r="I8" s="61">
        <v>24.512959347139109</v>
      </c>
      <c r="J8" s="61">
        <v>14.097763581386063</v>
      </c>
      <c r="K8" s="61">
        <v>87.7822303808193</v>
      </c>
      <c r="L8" s="61">
        <f t="shared" si="1"/>
        <v>12.2177696191807</v>
      </c>
    </row>
    <row r="9" spans="2:12" x14ac:dyDescent="0.35">
      <c r="B9" s="35" t="s">
        <v>66</v>
      </c>
      <c r="C9" s="36">
        <v>27.372096814324813</v>
      </c>
      <c r="D9" s="36">
        <f t="shared" si="0"/>
        <v>72.627903185675194</v>
      </c>
      <c r="E9" s="61">
        <v>7.207021698283185E-2</v>
      </c>
      <c r="F9" s="61">
        <v>1.4714335967328167</v>
      </c>
      <c r="G9" s="61">
        <v>23.351608281211121</v>
      </c>
      <c r="H9" s="61">
        <v>33.633625904095133</v>
      </c>
      <c r="I9" s="61">
        <v>25.572057347301229</v>
      </c>
      <c r="J9" s="61">
        <v>15.899204653676868</v>
      </c>
      <c r="K9" s="61">
        <v>89.621888754472209</v>
      </c>
      <c r="L9" s="61">
        <f t="shared" si="1"/>
        <v>10.378111245527791</v>
      </c>
    </row>
    <row r="10" spans="2:12" x14ac:dyDescent="0.35">
      <c r="B10" s="35" t="s">
        <v>20</v>
      </c>
      <c r="C10" s="36">
        <v>47.063758771789836</v>
      </c>
      <c r="D10" s="36">
        <f t="shared" si="0"/>
        <v>52.936241228210164</v>
      </c>
      <c r="E10" s="61">
        <v>5.7452658553378534E-2</v>
      </c>
      <c r="F10" s="61">
        <v>0.11855310495141602</v>
      </c>
      <c r="G10" s="61">
        <v>9.9342942214480807</v>
      </c>
      <c r="H10" s="61">
        <v>21.781853167419783</v>
      </c>
      <c r="I10" s="61">
        <v>25.136906037544854</v>
      </c>
      <c r="J10" s="61">
        <v>42.970940810082489</v>
      </c>
      <c r="K10" s="61">
        <v>93.841166197773944</v>
      </c>
      <c r="L10" s="61">
        <f t="shared" si="1"/>
        <v>6.1588338022260558</v>
      </c>
    </row>
    <row r="11" spans="2:12" x14ac:dyDescent="0.35">
      <c r="B11" s="35" t="s">
        <v>4</v>
      </c>
      <c r="C11" s="36">
        <v>48.004586766329737</v>
      </c>
      <c r="D11" s="36">
        <f t="shared" si="0"/>
        <v>51.995413233670263</v>
      </c>
      <c r="E11" s="61">
        <v>0.14117047481525524</v>
      </c>
      <c r="F11" s="61">
        <v>3.2268750530875732</v>
      </c>
      <c r="G11" s="61">
        <v>26.353860528327527</v>
      </c>
      <c r="H11" s="61">
        <v>27.162150683767944</v>
      </c>
      <c r="I11" s="61">
        <v>21.000934341289391</v>
      </c>
      <c r="J11" s="61">
        <v>22.115008918712309</v>
      </c>
      <c r="K11" s="61">
        <v>83.904867068716555</v>
      </c>
      <c r="L11" s="61">
        <f t="shared" si="1"/>
        <v>16.095132931283445</v>
      </c>
    </row>
    <row r="12" spans="2:12" x14ac:dyDescent="0.35">
      <c r="B12" s="35" t="s">
        <v>3</v>
      </c>
      <c r="C12" s="36">
        <v>39.255810068697663</v>
      </c>
      <c r="D12" s="36">
        <f t="shared" si="0"/>
        <v>60.744189931302337</v>
      </c>
      <c r="E12" s="61">
        <v>0.21507172537637551</v>
      </c>
      <c r="F12" s="61">
        <v>10.872606544027061</v>
      </c>
      <c r="G12" s="61">
        <v>33.563717608736503</v>
      </c>
      <c r="H12" s="61">
        <v>25.257355244200369</v>
      </c>
      <c r="I12" s="61">
        <v>15.069637301371866</v>
      </c>
      <c r="J12" s="61">
        <v>15.021611576287821</v>
      </c>
      <c r="K12" s="61">
        <v>81.130066191977619</v>
      </c>
      <c r="L12" s="61">
        <f t="shared" si="1"/>
        <v>18.869933808022381</v>
      </c>
    </row>
    <row r="13" spans="2:12" x14ac:dyDescent="0.35">
      <c r="B13" s="35" t="s">
        <v>40</v>
      </c>
      <c r="C13" s="36">
        <v>24.3018289343993</v>
      </c>
      <c r="D13" s="36">
        <f t="shared" si="0"/>
        <v>75.698171065600704</v>
      </c>
      <c r="E13" s="61">
        <v>0.24093746577592817</v>
      </c>
      <c r="F13" s="61">
        <v>13.043478260869565</v>
      </c>
      <c r="G13" s="61">
        <v>37.936699156718866</v>
      </c>
      <c r="H13" s="61">
        <v>26.196473551637279</v>
      </c>
      <c r="I13" s="61">
        <v>14.565764976453838</v>
      </c>
      <c r="J13" s="61">
        <v>8.0166465885445177</v>
      </c>
      <c r="K13" s="61">
        <v>79.323184755229434</v>
      </c>
      <c r="L13" s="61">
        <f t="shared" si="1"/>
        <v>20.676815244770566</v>
      </c>
    </row>
    <row r="14" spans="2:12" x14ac:dyDescent="0.35">
      <c r="B14" s="35" t="s">
        <v>86</v>
      </c>
      <c r="C14" s="36">
        <v>88.662746544578724</v>
      </c>
      <c r="D14" s="36">
        <f t="shared" si="0"/>
        <v>11.337253455421276</v>
      </c>
      <c r="E14" s="61">
        <v>17.061210319612908</v>
      </c>
      <c r="F14" s="61">
        <v>34.725627617332435</v>
      </c>
      <c r="G14" s="61">
        <v>27.986200013018859</v>
      </c>
      <c r="H14" s="61">
        <v>14.051684856901078</v>
      </c>
      <c r="I14" s="61">
        <v>4.8321652526742902</v>
      </c>
      <c r="J14" s="61">
        <v>1.3431119404604335</v>
      </c>
      <c r="K14" s="61">
        <v>91.474819363377961</v>
      </c>
      <c r="L14" s="61">
        <f t="shared" si="1"/>
        <v>8.5251806366220393</v>
      </c>
    </row>
    <row r="15" spans="2:12" x14ac:dyDescent="0.35">
      <c r="B15" s="35" t="s">
        <v>1</v>
      </c>
      <c r="C15" s="36">
        <v>85.282251478226783</v>
      </c>
      <c r="D15" s="36">
        <f t="shared" si="0"/>
        <v>14.717748521773217</v>
      </c>
      <c r="E15" s="61">
        <v>18.692626833491229</v>
      </c>
      <c r="F15" s="61">
        <v>39.335532978341121</v>
      </c>
      <c r="G15" s="61">
        <v>23.228577962170462</v>
      </c>
      <c r="H15" s="61">
        <v>11.828264349416877</v>
      </c>
      <c r="I15" s="61">
        <v>5.0847734474535295</v>
      </c>
      <c r="J15" s="61">
        <v>1.8302244291267846</v>
      </c>
      <c r="K15" s="61">
        <v>92.907778249648814</v>
      </c>
      <c r="L15" s="61">
        <f t="shared" si="1"/>
        <v>7.092221750351186</v>
      </c>
    </row>
    <row r="16" spans="2:12" x14ac:dyDescent="0.35">
      <c r="B16" s="35" t="s">
        <v>68</v>
      </c>
      <c r="C16" s="36">
        <v>31.10012216549287</v>
      </c>
      <c r="D16" s="36">
        <f t="shared" si="0"/>
        <v>68.899877834507123</v>
      </c>
      <c r="E16" s="61">
        <v>2.3761431721170645</v>
      </c>
      <c r="F16" s="61">
        <v>20.165580480777187</v>
      </c>
      <c r="G16" s="61">
        <v>27.349495519787403</v>
      </c>
      <c r="H16" s="61">
        <v>27.440024530441598</v>
      </c>
      <c r="I16" s="61">
        <v>16.9031290914489</v>
      </c>
      <c r="J16" s="61">
        <v>5.7656272054278475</v>
      </c>
      <c r="K16" s="61">
        <v>87.055324906672382</v>
      </c>
      <c r="L16" s="61">
        <f t="shared" si="1"/>
        <v>12.944675093327618</v>
      </c>
    </row>
    <row r="17" spans="2:16" x14ac:dyDescent="0.35">
      <c r="B17" s="35" t="s">
        <v>87</v>
      </c>
      <c r="C17" s="36">
        <v>73.752660009821582</v>
      </c>
      <c r="D17" s="36">
        <f t="shared" si="0"/>
        <v>26.247339990178418</v>
      </c>
      <c r="E17" s="61">
        <v>12.473399901784253</v>
      </c>
      <c r="F17" s="61">
        <v>11.068096251432314</v>
      </c>
      <c r="G17" s="36">
        <v>24.142249140612211</v>
      </c>
      <c r="H17" s="36">
        <v>33.463742019970532</v>
      </c>
      <c r="I17" s="36">
        <v>13.688819774103781</v>
      </c>
      <c r="J17" s="36">
        <v>5.1636929120969057</v>
      </c>
      <c r="K17" s="61">
        <v>86.739646423309864</v>
      </c>
      <c r="L17" s="61">
        <f t="shared" si="1"/>
        <v>13.260353576690136</v>
      </c>
    </row>
    <row r="18" spans="2:16" x14ac:dyDescent="0.35">
      <c r="B18" s="35" t="s">
        <v>15</v>
      </c>
      <c r="C18" s="36">
        <v>20.675990675990676</v>
      </c>
      <c r="D18" s="36">
        <f t="shared" si="0"/>
        <v>79.324009324009324</v>
      </c>
      <c r="E18" s="61">
        <v>1.118881118881119</v>
      </c>
      <c r="F18" s="61">
        <v>7.6456876456876461</v>
      </c>
      <c r="G18" s="36">
        <v>37.995337995337998</v>
      </c>
      <c r="H18" s="36">
        <v>32.93706293706294</v>
      </c>
      <c r="I18" s="36">
        <v>14.615384615384617</v>
      </c>
      <c r="J18" s="36">
        <v>5.6876456876456878</v>
      </c>
      <c r="K18" s="61">
        <v>78.554778554778565</v>
      </c>
      <c r="L18" s="61">
        <f t="shared" si="1"/>
        <v>21.445221445221435</v>
      </c>
    </row>
    <row r="19" spans="2:16" x14ac:dyDescent="0.35">
      <c r="B19" s="35" t="s">
        <v>39</v>
      </c>
      <c r="C19" s="36">
        <v>27.254098360655739</v>
      </c>
      <c r="D19" s="36">
        <f t="shared" si="0"/>
        <v>72.745901639344254</v>
      </c>
      <c r="E19" s="61">
        <v>6.1475409836065573</v>
      </c>
      <c r="F19" s="61">
        <v>4.3032786885245899</v>
      </c>
      <c r="G19" s="36">
        <v>25.409836065573771</v>
      </c>
      <c r="H19" s="36">
        <v>24.692622950819672</v>
      </c>
      <c r="I19" s="36">
        <v>18.442622950819672</v>
      </c>
      <c r="J19" s="36">
        <v>21.004098360655739</v>
      </c>
      <c r="K19" s="61">
        <v>80.635245901639337</v>
      </c>
      <c r="L19" s="61">
        <f t="shared" si="1"/>
        <v>19.364754098360663</v>
      </c>
    </row>
    <row r="20" spans="2:16" ht="15.5" x14ac:dyDescent="0.35">
      <c r="B20" s="74" t="s">
        <v>119</v>
      </c>
    </row>
    <row r="21" spans="2:16" ht="15.5" x14ac:dyDescent="0.35">
      <c r="B21" s="74" t="s">
        <v>115</v>
      </c>
    </row>
    <row r="22" spans="2:16" ht="15.5" x14ac:dyDescent="0.35">
      <c r="B22" s="74" t="s">
        <v>120</v>
      </c>
      <c r="P22" s="62"/>
    </row>
    <row r="23" spans="2:16" ht="15.5" x14ac:dyDescent="0.35">
      <c r="B23" s="74" t="s">
        <v>121</v>
      </c>
      <c r="P23" s="62"/>
    </row>
    <row r="24" spans="2:16" ht="15.5" x14ac:dyDescent="0.35">
      <c r="B24" s="75" t="s">
        <v>122</v>
      </c>
      <c r="P24" s="62"/>
    </row>
    <row r="62" spans="2:181" x14ac:dyDescent="0.35"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</row>
    <row r="63" spans="2:181" x14ac:dyDescent="0.35"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</row>
    <row r="64" spans="2:181" x14ac:dyDescent="0.35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</row>
    <row r="65" spans="2:181" x14ac:dyDescent="0.35"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</row>
    <row r="66" spans="2:181" x14ac:dyDescent="0.35"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</row>
    <row r="67" spans="2:181" x14ac:dyDescent="0.35"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</row>
    <row r="68" spans="2:181" x14ac:dyDescent="0.35"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</row>
    <row r="69" spans="2:181" x14ac:dyDescent="0.35"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</row>
    <row r="70" spans="2:181" x14ac:dyDescent="0.35"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</row>
    <row r="71" spans="2:181" x14ac:dyDescent="0.35"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</row>
    <row r="72" spans="2:181" x14ac:dyDescent="0.35"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</row>
    <row r="73" spans="2:181" x14ac:dyDescent="0.35"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</row>
    <row r="74" spans="2:181" x14ac:dyDescent="0.35"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</row>
    <row r="75" spans="2:181" x14ac:dyDescent="0.35"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</row>
    <row r="76" spans="2:181" x14ac:dyDescent="0.35"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</row>
    <row r="77" spans="2:181" x14ac:dyDescent="0.35"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</row>
    <row r="78" spans="2:181" x14ac:dyDescent="0.35"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</row>
    <row r="79" spans="2:181" x14ac:dyDescent="0.35"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</row>
    <row r="80" spans="2:181" x14ac:dyDescent="0.35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</row>
    <row r="81" spans="2:181" x14ac:dyDescent="0.35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</row>
    <row r="82" spans="2:181" x14ac:dyDescent="0.35"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</row>
    <row r="83" spans="2:181" x14ac:dyDescent="0.35"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</row>
    <row r="84" spans="2:181" x14ac:dyDescent="0.35"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</row>
    <row r="85" spans="2:181" x14ac:dyDescent="0.35"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</row>
    <row r="86" spans="2:181" x14ac:dyDescent="0.35"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</row>
    <row r="87" spans="2:181" x14ac:dyDescent="0.35"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</row>
    <row r="88" spans="2:181" x14ac:dyDescent="0.35"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</row>
    <row r="89" spans="2:181" x14ac:dyDescent="0.35"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</row>
    <row r="90" spans="2:181" x14ac:dyDescent="0.35"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</row>
    <row r="91" spans="2:181" x14ac:dyDescent="0.35"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</row>
    <row r="92" spans="2:181" x14ac:dyDescent="0.35"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</row>
    <row r="93" spans="2:181" x14ac:dyDescent="0.35"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</row>
    <row r="94" spans="2:181" x14ac:dyDescent="0.35"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</row>
    <row r="95" spans="2:181" x14ac:dyDescent="0.35"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</row>
    <row r="96" spans="2:181" x14ac:dyDescent="0.35"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</row>
    <row r="97" spans="2:181" x14ac:dyDescent="0.35"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</row>
    <row r="98" spans="2:181" x14ac:dyDescent="0.35"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</row>
    <row r="99" spans="2:181" x14ac:dyDescent="0.35"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</row>
    <row r="100" spans="2:181" x14ac:dyDescent="0.35"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</row>
    <row r="101" spans="2:181" x14ac:dyDescent="0.35"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</row>
    <row r="102" spans="2:181" x14ac:dyDescent="0.35"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</row>
    <row r="103" spans="2:181" x14ac:dyDescent="0.35"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</row>
    <row r="104" spans="2:181" x14ac:dyDescent="0.35"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</row>
    <row r="105" spans="2:181" x14ac:dyDescent="0.35"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</row>
    <row r="106" spans="2:181" x14ac:dyDescent="0.35"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</row>
    <row r="107" spans="2:181" x14ac:dyDescent="0.35"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</row>
    <row r="108" spans="2:181" x14ac:dyDescent="0.35"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</row>
    <row r="109" spans="2:181" x14ac:dyDescent="0.35"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</row>
    <row r="110" spans="2:181" x14ac:dyDescent="0.35"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</row>
    <row r="111" spans="2:181" x14ac:dyDescent="0.35"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</row>
    <row r="112" spans="2:181" x14ac:dyDescent="0.35"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</row>
    <row r="113" spans="2:181" x14ac:dyDescent="0.35"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</row>
    <row r="114" spans="2:181" x14ac:dyDescent="0.35"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</row>
    <row r="115" spans="2:181" x14ac:dyDescent="0.35"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</row>
    <row r="116" spans="2:181" x14ac:dyDescent="0.35"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</row>
    <row r="117" spans="2:181" x14ac:dyDescent="0.35"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</row>
    <row r="118" spans="2:181" x14ac:dyDescent="0.35"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</row>
    <row r="119" spans="2:181" x14ac:dyDescent="0.35"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</row>
    <row r="120" spans="2:181" x14ac:dyDescent="0.35"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</row>
    <row r="121" spans="2:181" x14ac:dyDescent="0.35"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</row>
    <row r="122" spans="2:181" x14ac:dyDescent="0.35"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</row>
    <row r="123" spans="2:181" x14ac:dyDescent="0.35"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</row>
    <row r="124" spans="2:181" x14ac:dyDescent="0.35"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</row>
    <row r="125" spans="2:181" x14ac:dyDescent="0.35"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</row>
    <row r="126" spans="2:181" x14ac:dyDescent="0.35"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</row>
    <row r="127" spans="2:181" x14ac:dyDescent="0.35"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</row>
    <row r="128" spans="2:181" x14ac:dyDescent="0.35"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</row>
    <row r="129" spans="2:181" x14ac:dyDescent="0.35"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</row>
    <row r="130" spans="2:181" x14ac:dyDescent="0.35"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</row>
    <row r="131" spans="2:181" x14ac:dyDescent="0.35"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</row>
    <row r="132" spans="2:181" x14ac:dyDescent="0.35"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</row>
    <row r="133" spans="2:181" x14ac:dyDescent="0.35"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</row>
    <row r="134" spans="2:181" x14ac:dyDescent="0.35"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</row>
    <row r="135" spans="2:181" x14ac:dyDescent="0.35"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</row>
    <row r="136" spans="2:181" x14ac:dyDescent="0.35"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</row>
    <row r="137" spans="2:181" x14ac:dyDescent="0.35"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</row>
    <row r="138" spans="2:181" x14ac:dyDescent="0.35"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</row>
    <row r="139" spans="2:181" x14ac:dyDescent="0.35"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</row>
  </sheetData>
  <conditionalFormatting sqref="B5:L5 B7:B8 B9:C19 E9:K19 B6:C6 E6:K6 D6:D19 L6:L19">
    <cfRule type="expression" dxfId="8" priority="42">
      <formula>MOD(ROW(),2)</formula>
    </cfRule>
  </conditionalFormatting>
  <conditionalFormatting sqref="C7:C8 E7:K8">
    <cfRule type="expression" dxfId="7" priority="41">
      <formula>MOD(ROW(),2)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44"/>
  <sheetViews>
    <sheetView tabSelected="1" topLeftCell="B1" zoomScale="70" zoomScaleNormal="70" workbookViewId="0">
      <selection activeCell="O35" sqref="O35"/>
    </sheetView>
  </sheetViews>
  <sheetFormatPr baseColWidth="10" defaultColWidth="10.81640625" defaultRowHeight="14.5" x14ac:dyDescent="0.35"/>
  <cols>
    <col min="1" max="2" width="3.54296875" style="1" customWidth="1"/>
    <col min="3" max="3" width="57.54296875" style="1" customWidth="1"/>
    <col min="4" max="13" width="15" style="1" customWidth="1"/>
    <col min="14" max="18" width="10.81640625" style="1" bestFit="1" customWidth="1"/>
    <col min="19" max="20" width="11.26953125" style="1" bestFit="1" customWidth="1"/>
    <col min="21" max="16384" width="10.81640625" style="1"/>
  </cols>
  <sheetData>
    <row r="2" spans="3:16" x14ac:dyDescent="0.35">
      <c r="C2" s="76" t="s">
        <v>146</v>
      </c>
    </row>
    <row r="3" spans="3:16" ht="15.5" x14ac:dyDescent="0.35">
      <c r="C3" s="63"/>
    </row>
    <row r="4" spans="3:16" x14ac:dyDescent="0.35">
      <c r="C4" s="59"/>
      <c r="D4" s="59" t="s">
        <v>76</v>
      </c>
      <c r="E4" s="59" t="s">
        <v>77</v>
      </c>
      <c r="F4" s="59" t="s">
        <v>88</v>
      </c>
      <c r="G4" s="59" t="s">
        <v>89</v>
      </c>
      <c r="H4" s="59" t="s">
        <v>90</v>
      </c>
      <c r="I4" s="59" t="s">
        <v>91</v>
      </c>
      <c r="J4" s="59" t="s">
        <v>92</v>
      </c>
      <c r="K4" s="59" t="s">
        <v>93</v>
      </c>
      <c r="L4" s="59" t="s">
        <v>84</v>
      </c>
      <c r="M4" s="59" t="s">
        <v>85</v>
      </c>
    </row>
    <row r="5" spans="3:16" x14ac:dyDescent="0.35">
      <c r="C5" s="35" t="s">
        <v>18</v>
      </c>
      <c r="D5" s="36">
        <v>26.680707666385846</v>
      </c>
      <c r="E5" s="36">
        <f>100-D5</f>
        <v>73.319292333614158</v>
      </c>
      <c r="F5" s="61">
        <v>0.20429654591406907</v>
      </c>
      <c r="G5" s="61">
        <v>5.1347935973041281</v>
      </c>
      <c r="H5" s="61">
        <v>38.121314237573714</v>
      </c>
      <c r="I5" s="61">
        <v>34.764111204717771</v>
      </c>
      <c r="J5" s="61">
        <v>16.792333614153325</v>
      </c>
      <c r="K5" s="61">
        <v>4.9831508003369844</v>
      </c>
      <c r="L5" s="61">
        <v>86.960825610783488</v>
      </c>
      <c r="M5" s="61">
        <f>100-L5</f>
        <v>13.039174389216512</v>
      </c>
      <c r="N5" s="64"/>
      <c r="O5" s="2"/>
      <c r="P5" s="2"/>
    </row>
    <row r="6" spans="3:16" x14ac:dyDescent="0.35">
      <c r="C6" s="35" t="s">
        <v>12</v>
      </c>
      <c r="D6" s="36">
        <v>9.7289559076159584</v>
      </c>
      <c r="E6" s="36">
        <f t="shared" ref="E6:E21" si="0">100-D6</f>
        <v>90.271044092384045</v>
      </c>
      <c r="F6" s="61">
        <v>0.14124832983393776</v>
      </c>
      <c r="G6" s="61">
        <v>19.454094292803969</v>
      </c>
      <c r="H6" s="61">
        <v>56.197747661767515</v>
      </c>
      <c r="I6" s="61">
        <v>18.629509448368008</v>
      </c>
      <c r="J6" s="61">
        <v>4.8463447222752434</v>
      </c>
      <c r="K6" s="61">
        <v>0.73105554495132663</v>
      </c>
      <c r="L6" s="61">
        <v>78.358337314859057</v>
      </c>
      <c r="M6" s="61">
        <f t="shared" ref="M6:M21" si="1">100-L6</f>
        <v>21.641662685140943</v>
      </c>
      <c r="O6" s="2"/>
      <c r="P6" s="2"/>
    </row>
    <row r="7" spans="3:16" x14ac:dyDescent="0.35">
      <c r="C7" s="35" t="s">
        <v>10</v>
      </c>
      <c r="D7" s="36">
        <v>7.532119085702492</v>
      </c>
      <c r="E7" s="36">
        <f t="shared" si="0"/>
        <v>92.46788091429751</v>
      </c>
      <c r="F7" s="61">
        <v>3.8525703868049467E-2</v>
      </c>
      <c r="G7" s="61">
        <v>5.020724764804017</v>
      </c>
      <c r="H7" s="61">
        <v>63.828835801386241</v>
      </c>
      <c r="I7" s="61">
        <v>24.657826393546944</v>
      </c>
      <c r="J7" s="61">
        <v>5.9714840995476672</v>
      </c>
      <c r="K7" s="61">
        <v>0.48260323684708389</v>
      </c>
      <c r="L7" s="61">
        <v>87.45423766137246</v>
      </c>
      <c r="M7" s="61">
        <f t="shared" si="1"/>
        <v>12.54576233862754</v>
      </c>
      <c r="N7" s="64"/>
      <c r="O7" s="2"/>
      <c r="P7" s="2"/>
    </row>
    <row r="8" spans="3:16" x14ac:dyDescent="0.35">
      <c r="C8" s="35" t="s">
        <v>9</v>
      </c>
      <c r="D8" s="36">
        <v>12.194950319475328</v>
      </c>
      <c r="E8" s="36">
        <f t="shared" si="0"/>
        <v>87.805049680524675</v>
      </c>
      <c r="F8" s="61">
        <v>1.6297463900695246</v>
      </c>
      <c r="G8" s="61">
        <v>18.853266529681651</v>
      </c>
      <c r="H8" s="61">
        <v>36.016269316294647</v>
      </c>
      <c r="I8" s="61">
        <v>27.097700340586034</v>
      </c>
      <c r="J8" s="61">
        <v>12.092211557407042</v>
      </c>
      <c r="K8" s="61">
        <v>4.3108058659611004</v>
      </c>
      <c r="L8" s="61">
        <v>87.240690179300245</v>
      </c>
      <c r="M8" s="61">
        <f t="shared" si="1"/>
        <v>12.759309820699755</v>
      </c>
      <c r="N8" s="64"/>
      <c r="O8" s="2"/>
      <c r="P8" s="2"/>
    </row>
    <row r="9" spans="3:16" x14ac:dyDescent="0.35">
      <c r="C9" s="35" t="s">
        <v>8</v>
      </c>
      <c r="D9" s="36">
        <v>3.5955056179775284</v>
      </c>
      <c r="E9" s="36">
        <f t="shared" si="0"/>
        <v>96.404494382022477</v>
      </c>
      <c r="F9" s="61">
        <v>0.44943820224719105</v>
      </c>
      <c r="G9" s="61">
        <v>14.487772637144747</v>
      </c>
      <c r="H9" s="61">
        <v>56.880370125578317</v>
      </c>
      <c r="I9" s="61">
        <v>22.181097157964309</v>
      </c>
      <c r="J9" s="61">
        <v>4.4943820224719104</v>
      </c>
      <c r="K9" s="61">
        <v>1.5069398545935229</v>
      </c>
      <c r="L9" s="61">
        <v>79.061467283542626</v>
      </c>
      <c r="M9" s="61">
        <f t="shared" si="1"/>
        <v>20.938532716457374</v>
      </c>
      <c r="N9" s="64"/>
      <c r="O9" s="2"/>
      <c r="P9" s="2"/>
    </row>
    <row r="10" spans="3:16" x14ac:dyDescent="0.35">
      <c r="C10" s="35" t="s">
        <v>41</v>
      </c>
      <c r="D10" s="36">
        <v>3.9721080811854064</v>
      </c>
      <c r="E10" s="36">
        <f t="shared" si="0"/>
        <v>96.027891918814589</v>
      </c>
      <c r="F10" s="61">
        <v>0.38185365043788649</v>
      </c>
      <c r="G10" s="61">
        <v>18.21690947578135</v>
      </c>
      <c r="H10" s="61">
        <v>44.917610924334866</v>
      </c>
      <c r="I10" s="61">
        <v>28.576765035487483</v>
      </c>
      <c r="J10" s="61">
        <v>6.8816668741958242</v>
      </c>
      <c r="K10" s="61">
        <v>1.0251940397625865</v>
      </c>
      <c r="L10" s="61">
        <v>60.926410160627562</v>
      </c>
      <c r="M10" s="61">
        <f t="shared" si="1"/>
        <v>39.073589839372438</v>
      </c>
      <c r="N10" s="64"/>
      <c r="O10" s="2"/>
      <c r="P10" s="2"/>
    </row>
    <row r="11" spans="3:16" x14ac:dyDescent="0.35">
      <c r="C11" s="35" t="s">
        <v>66</v>
      </c>
      <c r="D11" s="36">
        <v>5.2539184952978051</v>
      </c>
      <c r="E11" s="36">
        <f t="shared" si="0"/>
        <v>94.74608150470219</v>
      </c>
      <c r="F11" s="61">
        <v>0.37199582027168238</v>
      </c>
      <c r="G11" s="61">
        <v>28.062695924764892</v>
      </c>
      <c r="H11" s="61">
        <v>49.638453500522466</v>
      </c>
      <c r="I11" s="61">
        <v>16.217345872518287</v>
      </c>
      <c r="J11" s="61">
        <v>4.7857889237199576</v>
      </c>
      <c r="K11" s="61">
        <v>0.9237199582027168</v>
      </c>
      <c r="L11" s="61">
        <v>89.157784743991641</v>
      </c>
      <c r="M11" s="61">
        <f t="shared" si="1"/>
        <v>10.842215256008359</v>
      </c>
      <c r="N11" s="64"/>
      <c r="O11" s="2"/>
      <c r="P11" s="2"/>
    </row>
    <row r="12" spans="3:16" x14ac:dyDescent="0.35">
      <c r="C12" s="35" t="s">
        <v>20</v>
      </c>
      <c r="D12" s="36">
        <v>8.5050020257425132</v>
      </c>
      <c r="E12" s="36">
        <f t="shared" si="0"/>
        <v>91.494997974257487</v>
      </c>
      <c r="F12" s="61">
        <v>1.0097547293296352</v>
      </c>
      <c r="G12" s="61">
        <v>21.566366441237886</v>
      </c>
      <c r="H12" s="61">
        <v>41.00414498083336</v>
      </c>
      <c r="I12" s="61">
        <v>28.039392900551626</v>
      </c>
      <c r="J12" s="61">
        <v>7.3456540031788569</v>
      </c>
      <c r="K12" s="61">
        <v>1.0346869448686382</v>
      </c>
      <c r="L12" s="61">
        <v>62.508180883223744</v>
      </c>
      <c r="M12" s="61">
        <f t="shared" si="1"/>
        <v>37.491819116776256</v>
      </c>
      <c r="N12" s="64"/>
      <c r="O12" s="2"/>
      <c r="P12" s="2"/>
    </row>
    <row r="13" spans="3:16" x14ac:dyDescent="0.35">
      <c r="C13" s="35" t="s">
        <v>4</v>
      </c>
      <c r="D13" s="36">
        <v>20.067027095387143</v>
      </c>
      <c r="E13" s="36">
        <f t="shared" si="0"/>
        <v>79.932972904612853</v>
      </c>
      <c r="F13" s="61">
        <v>1.0101489139713553</v>
      </c>
      <c r="G13" s="61">
        <v>15.635966992317178</v>
      </c>
      <c r="H13" s="61">
        <v>32.963419646526923</v>
      </c>
      <c r="I13" s="61">
        <v>29.616807360333869</v>
      </c>
      <c r="J13" s="61">
        <v>15.420974422207468</v>
      </c>
      <c r="K13" s="61">
        <v>5.3526826646432077</v>
      </c>
      <c r="L13" s="61">
        <v>70.715166461159058</v>
      </c>
      <c r="M13" s="61">
        <f t="shared" si="1"/>
        <v>29.284833538840942</v>
      </c>
      <c r="N13" s="64"/>
      <c r="O13" s="2"/>
      <c r="P13" s="2"/>
    </row>
    <row r="14" spans="3:16" x14ac:dyDescent="0.35">
      <c r="C14" s="35" t="s">
        <v>3</v>
      </c>
      <c r="D14" s="36">
        <v>7.0653446795222106</v>
      </c>
      <c r="E14" s="36">
        <f t="shared" si="0"/>
        <v>92.934655320477788</v>
      </c>
      <c r="F14" s="61">
        <v>0.68701694121320944</v>
      </c>
      <c r="G14" s="61">
        <v>35.07689905535171</v>
      </c>
      <c r="H14" s="61">
        <v>41.111718323054106</v>
      </c>
      <c r="I14" s="61">
        <v>17.425247872589587</v>
      </c>
      <c r="J14" s="61">
        <v>4.777890545710048</v>
      </c>
      <c r="K14" s="61">
        <v>0.92122726208134897</v>
      </c>
      <c r="L14" s="61">
        <v>70.497306581310013</v>
      </c>
      <c r="M14" s="61">
        <f t="shared" si="1"/>
        <v>29.502693418689987</v>
      </c>
      <c r="N14" s="64"/>
      <c r="O14" s="2"/>
      <c r="P14" s="2"/>
    </row>
    <row r="15" spans="3:16" x14ac:dyDescent="0.35">
      <c r="C15" s="35" t="s">
        <v>40</v>
      </c>
      <c r="D15" s="36">
        <v>5.384615384615385</v>
      </c>
      <c r="E15" s="36">
        <f t="shared" si="0"/>
        <v>94.615384615384613</v>
      </c>
      <c r="F15" s="61">
        <v>0.33530571992110453</v>
      </c>
      <c r="G15" s="61">
        <v>30.76923076923077</v>
      </c>
      <c r="H15" s="61">
        <v>50.394477317554241</v>
      </c>
      <c r="I15" s="61">
        <v>15.108481262327416</v>
      </c>
      <c r="J15" s="61">
        <v>3.1163708086785014</v>
      </c>
      <c r="K15" s="61">
        <v>0.27613412228796846</v>
      </c>
      <c r="L15" s="61">
        <v>78.323471400394467</v>
      </c>
      <c r="M15" s="61">
        <f t="shared" si="1"/>
        <v>21.676528599605533</v>
      </c>
      <c r="N15" s="64"/>
      <c r="O15" s="2"/>
      <c r="P15" s="2"/>
    </row>
    <row r="16" spans="3:16" x14ac:dyDescent="0.35">
      <c r="C16" s="35" t="s">
        <v>94</v>
      </c>
      <c r="D16" s="36">
        <v>2.5452040640606164</v>
      </c>
      <c r="E16" s="36">
        <f t="shared" si="0"/>
        <v>97.454795935939387</v>
      </c>
      <c r="F16" s="61">
        <v>6.8021353538832443</v>
      </c>
      <c r="G16" s="61">
        <v>20.595832615808508</v>
      </c>
      <c r="H16" s="61">
        <v>30.57000172205958</v>
      </c>
      <c r="I16" s="61">
        <v>27.218873773032549</v>
      </c>
      <c r="J16" s="61">
        <v>11.086619597038057</v>
      </c>
      <c r="K16" s="61">
        <v>3.7265369381780609</v>
      </c>
      <c r="L16" s="61">
        <v>86.278629240571718</v>
      </c>
      <c r="M16" s="61">
        <f t="shared" si="1"/>
        <v>13.721370759428282</v>
      </c>
      <c r="N16" s="64"/>
      <c r="O16" s="2"/>
      <c r="P16" s="2"/>
    </row>
    <row r="17" spans="3:16" x14ac:dyDescent="0.35">
      <c r="C17" s="35" t="s">
        <v>1</v>
      </c>
      <c r="D17" s="36">
        <v>4.5009639626279103</v>
      </c>
      <c r="E17" s="36">
        <f t="shared" si="0"/>
        <v>95.499036037372093</v>
      </c>
      <c r="F17" s="61">
        <v>6.5821345592960601</v>
      </c>
      <c r="G17" s="61">
        <v>17.969252063868705</v>
      </c>
      <c r="H17" s="36">
        <v>24.429037520391518</v>
      </c>
      <c r="I17" s="36">
        <v>27.538434920164121</v>
      </c>
      <c r="J17" s="36">
        <v>15.823817292006526</v>
      </c>
      <c r="K17" s="36">
        <v>7.657323644273073</v>
      </c>
      <c r="L17" s="36">
        <v>87.262098966829811</v>
      </c>
      <c r="M17" s="61">
        <f t="shared" si="1"/>
        <v>12.737901033170189</v>
      </c>
      <c r="N17" s="64"/>
      <c r="O17" s="2"/>
      <c r="P17" s="2"/>
    </row>
    <row r="18" spans="3:16" x14ac:dyDescent="0.35">
      <c r="C18" s="35" t="s">
        <v>68</v>
      </c>
      <c r="D18" s="36">
        <v>16.844443466977502</v>
      </c>
      <c r="E18" s="36">
        <f t="shared" si="0"/>
        <v>83.155556533022491</v>
      </c>
      <c r="F18" s="61">
        <v>3.5965896178348618</v>
      </c>
      <c r="G18" s="61">
        <v>20.248960830455914</v>
      </c>
      <c r="H18" s="36">
        <v>31.940442939145353</v>
      </c>
      <c r="I18" s="36">
        <v>26.192937312601259</v>
      </c>
      <c r="J18" s="36">
        <v>13.317498368852037</v>
      </c>
      <c r="K18" s="36">
        <v>4.7035709311105736</v>
      </c>
      <c r="L18" s="36">
        <v>84.647415455218578</v>
      </c>
      <c r="M18" s="61">
        <f t="shared" si="1"/>
        <v>15.352584544781422</v>
      </c>
      <c r="N18" s="64"/>
      <c r="O18" s="2"/>
      <c r="P18" s="2"/>
    </row>
    <row r="19" spans="3:16" x14ac:dyDescent="0.35">
      <c r="C19" s="35" t="s">
        <v>87</v>
      </c>
      <c r="D19" s="36">
        <v>20.9861887105085</v>
      </c>
      <c r="E19" s="36">
        <f t="shared" si="0"/>
        <v>79.0138112894915</v>
      </c>
      <c r="F19" s="61">
        <v>0.25207876577386668</v>
      </c>
      <c r="G19" s="61">
        <v>2.2146559301655939</v>
      </c>
      <c r="H19" s="36">
        <v>25.267991553593262</v>
      </c>
      <c r="I19" s="36">
        <v>48.017216120916984</v>
      </c>
      <c r="J19" s="36">
        <v>19.631833658324659</v>
      </c>
      <c r="K19" s="36">
        <v>4.6162239712256383</v>
      </c>
      <c r="L19" s="36">
        <v>83.689645069056454</v>
      </c>
      <c r="M19" s="61">
        <f t="shared" si="1"/>
        <v>16.310354930943546</v>
      </c>
      <c r="N19" s="64"/>
      <c r="O19" s="2"/>
      <c r="P19" s="2"/>
    </row>
    <row r="20" spans="3:16" x14ac:dyDescent="0.35">
      <c r="C20" s="35" t="s">
        <v>15</v>
      </c>
      <c r="D20" s="36">
        <v>10.176991150442479</v>
      </c>
      <c r="E20" s="36">
        <f t="shared" si="0"/>
        <v>89.823008849557525</v>
      </c>
      <c r="F20" s="36">
        <v>0.14749262536873156</v>
      </c>
      <c r="G20" s="36">
        <v>12.890855457227138</v>
      </c>
      <c r="H20" s="36">
        <v>48.171091445427727</v>
      </c>
      <c r="I20" s="36">
        <v>25.634218289085549</v>
      </c>
      <c r="J20" s="36">
        <v>9.4100294985250734</v>
      </c>
      <c r="K20" s="36">
        <v>3.7463126843657815</v>
      </c>
      <c r="L20" s="36">
        <v>80.412979351032448</v>
      </c>
      <c r="M20" s="61">
        <f t="shared" si="1"/>
        <v>19.587020648967552</v>
      </c>
      <c r="N20" s="64"/>
      <c r="O20" s="2"/>
      <c r="P20" s="2"/>
    </row>
    <row r="21" spans="3:16" x14ac:dyDescent="0.35">
      <c r="C21" s="35" t="s">
        <v>39</v>
      </c>
      <c r="D21" s="36">
        <v>13.259668508287293</v>
      </c>
      <c r="E21" s="36">
        <f t="shared" si="0"/>
        <v>86.740331491712709</v>
      </c>
      <c r="F21" s="61">
        <v>6.9060773480662974E-2</v>
      </c>
      <c r="G21" s="61">
        <v>8.4944751381215475</v>
      </c>
      <c r="H21" s="61">
        <v>44.337016574585633</v>
      </c>
      <c r="I21" s="61">
        <v>28.52209944751381</v>
      </c>
      <c r="J21" s="61">
        <v>11.533149171270718</v>
      </c>
      <c r="K21" s="61">
        <v>7.0441988950276242</v>
      </c>
      <c r="L21" s="61">
        <v>82.113259668508292</v>
      </c>
      <c r="M21" s="61">
        <f t="shared" si="1"/>
        <v>17.886740331491708</v>
      </c>
      <c r="O21" s="2"/>
      <c r="P21" s="2"/>
    </row>
    <row r="22" spans="3:16" ht="15.5" x14ac:dyDescent="0.35">
      <c r="C22" s="72" t="s">
        <v>116</v>
      </c>
    </row>
    <row r="23" spans="3:16" ht="15.5" x14ac:dyDescent="0.35">
      <c r="C23" s="73" t="s">
        <v>115</v>
      </c>
    </row>
    <row r="24" spans="3:16" ht="15.5" x14ac:dyDescent="0.35">
      <c r="C24" s="72" t="s">
        <v>117</v>
      </c>
    </row>
    <row r="25" spans="3:16" ht="15.5" x14ac:dyDescent="0.35">
      <c r="C25" s="72" t="s">
        <v>118</v>
      </c>
    </row>
    <row r="26" spans="3:16" ht="15.5" x14ac:dyDescent="0.35">
      <c r="C26" s="72" t="s">
        <v>147</v>
      </c>
    </row>
    <row r="32" spans="3:16" x14ac:dyDescent="0.35">
      <c r="C32" s="65"/>
      <c r="D32" s="65"/>
      <c r="E32" s="65"/>
    </row>
    <row r="33" spans="3:5" x14ac:dyDescent="0.35">
      <c r="C33" s="65"/>
      <c r="D33" s="65"/>
      <c r="E33" s="65"/>
    </row>
    <row r="34" spans="3:5" x14ac:dyDescent="0.35">
      <c r="C34" s="65"/>
      <c r="D34" s="65"/>
      <c r="E34" s="65"/>
    </row>
    <row r="35" spans="3:5" x14ac:dyDescent="0.35">
      <c r="C35" s="65"/>
      <c r="D35" s="65"/>
      <c r="E35" s="65"/>
    </row>
    <row r="36" spans="3:5" x14ac:dyDescent="0.35">
      <c r="C36" s="65"/>
      <c r="D36" s="65"/>
      <c r="E36" s="65"/>
    </row>
    <row r="37" spans="3:5" x14ac:dyDescent="0.35">
      <c r="C37" s="65"/>
      <c r="D37" s="65"/>
      <c r="E37" s="65"/>
    </row>
    <row r="38" spans="3:5" x14ac:dyDescent="0.35">
      <c r="C38" s="65"/>
      <c r="D38" s="65"/>
      <c r="E38" s="65"/>
    </row>
    <row r="39" spans="3:5" x14ac:dyDescent="0.35">
      <c r="C39" s="65"/>
      <c r="D39" s="65"/>
      <c r="E39" s="65"/>
    </row>
    <row r="40" spans="3:5" x14ac:dyDescent="0.35">
      <c r="C40" s="65"/>
      <c r="D40" s="65"/>
      <c r="E40" s="65"/>
    </row>
    <row r="41" spans="3:5" x14ac:dyDescent="0.35">
      <c r="C41" s="65"/>
      <c r="D41" s="65"/>
      <c r="E41" s="65"/>
    </row>
    <row r="42" spans="3:5" x14ac:dyDescent="0.35">
      <c r="C42" s="65"/>
      <c r="D42" s="65"/>
      <c r="E42" s="65"/>
    </row>
    <row r="43" spans="3:5" x14ac:dyDescent="0.35">
      <c r="C43" s="65"/>
      <c r="D43" s="65"/>
      <c r="E43" s="65"/>
    </row>
    <row r="44" spans="3:5" x14ac:dyDescent="0.35">
      <c r="C44" s="65"/>
      <c r="D44" s="65"/>
      <c r="E44" s="65"/>
    </row>
  </sheetData>
  <conditionalFormatting sqref="C11:D17 C9:C10 C5:K5 C6:D8 F6:K6 F8:K8 F11:K21 E6:E21 M5:M21 D18:D21">
    <cfRule type="expression" dxfId="6" priority="26">
      <formula>MOD(ROW(),2)</formula>
    </cfRule>
  </conditionalFormatting>
  <conditionalFormatting sqref="D9:D10 F9:K10">
    <cfRule type="expression" dxfId="5" priority="25">
      <formula>MOD(ROW(),2)</formula>
    </cfRule>
  </conditionalFormatting>
  <conditionalFormatting sqref="F7:K7">
    <cfRule type="expression" dxfId="4" priority="15">
      <formula>MOD(ROW(),2)</formula>
    </cfRule>
  </conditionalFormatting>
  <conditionalFormatting sqref="L5:L6 L8 L11:L21">
    <cfRule type="expression" dxfId="3" priority="4">
      <formula>MOD(ROW(),2)</formula>
    </cfRule>
  </conditionalFormatting>
  <conditionalFormatting sqref="L9:L10">
    <cfRule type="expression" dxfId="2" priority="3">
      <formula>MOD(ROW(),2)</formula>
    </cfRule>
  </conditionalFormatting>
  <conditionalFormatting sqref="L7">
    <cfRule type="expression" dxfId="1" priority="2">
      <formula>MOD(ROW(),2)</formula>
    </cfRule>
  </conditionalFormatting>
  <conditionalFormatting sqref="C18:C21">
    <cfRule type="expression" dxfId="0" priority="1">
      <formula>MOD(ROW(),2)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3"/>
  <sheetViews>
    <sheetView zoomScale="70" zoomScaleNormal="70" workbookViewId="0">
      <selection activeCell="M22" sqref="M21:M22"/>
    </sheetView>
  </sheetViews>
  <sheetFormatPr baseColWidth="10" defaultColWidth="11.453125" defaultRowHeight="14.5" x14ac:dyDescent="0.35"/>
  <cols>
    <col min="1" max="1" width="2.54296875" style="1" customWidth="1"/>
    <col min="2" max="2" width="69.54296875" style="1" customWidth="1"/>
    <col min="3" max="16384" width="11.453125" style="1"/>
  </cols>
  <sheetData>
    <row r="2" spans="2:5" x14ac:dyDescent="0.35">
      <c r="B2" s="111" t="s">
        <v>43</v>
      </c>
    </row>
    <row r="4" spans="2:5" ht="78" x14ac:dyDescent="0.35">
      <c r="B4" s="23" t="s">
        <v>44</v>
      </c>
      <c r="C4" s="23" t="s">
        <v>45</v>
      </c>
    </row>
    <row r="5" spans="2:5" x14ac:dyDescent="0.35">
      <c r="B5" s="24" t="s">
        <v>46</v>
      </c>
      <c r="C5" s="25">
        <v>22</v>
      </c>
    </row>
    <row r="6" spans="2:5" x14ac:dyDescent="0.35">
      <c r="B6" s="26" t="s">
        <v>96</v>
      </c>
      <c r="C6" s="25">
        <v>6.0986593172985097</v>
      </c>
    </row>
    <row r="7" spans="2:5" x14ac:dyDescent="0.35">
      <c r="B7" s="26" t="s">
        <v>97</v>
      </c>
      <c r="C7" s="25">
        <v>2</v>
      </c>
    </row>
    <row r="8" spans="2:5" x14ac:dyDescent="0.35">
      <c r="B8" s="26" t="s">
        <v>47</v>
      </c>
      <c r="C8" s="25">
        <v>14</v>
      </c>
    </row>
    <row r="9" spans="2:5" x14ac:dyDescent="0.35">
      <c r="B9" s="26" t="s">
        <v>48</v>
      </c>
      <c r="C9" s="66">
        <v>6.3</v>
      </c>
    </row>
    <row r="10" spans="2:5" x14ac:dyDescent="0.35">
      <c r="B10" s="26" t="s">
        <v>49</v>
      </c>
      <c r="C10" s="66">
        <v>11</v>
      </c>
    </row>
    <row r="11" spans="2:5" x14ac:dyDescent="0.35">
      <c r="B11" s="26" t="s">
        <v>50</v>
      </c>
      <c r="C11" s="66">
        <v>4</v>
      </c>
    </row>
    <row r="12" spans="2:5" x14ac:dyDescent="0.35">
      <c r="B12" s="26" t="s">
        <v>98</v>
      </c>
      <c r="C12" s="66">
        <v>17</v>
      </c>
    </row>
    <row r="13" spans="2:5" ht="39.75" customHeight="1" x14ac:dyDescent="0.35">
      <c r="B13" s="112" t="s">
        <v>99</v>
      </c>
      <c r="C13" s="67"/>
    </row>
    <row r="14" spans="2:5" x14ac:dyDescent="0.35">
      <c r="B14" s="112" t="s">
        <v>100</v>
      </c>
      <c r="C14" s="67"/>
    </row>
    <row r="15" spans="2:5" x14ac:dyDescent="0.35">
      <c r="B15" s="112" t="s">
        <v>101</v>
      </c>
      <c r="C15" s="67"/>
    </row>
    <row r="16" spans="2:5" x14ac:dyDescent="0.35">
      <c r="D16" s="113"/>
      <c r="E16" s="114"/>
    </row>
    <row r="17" spans="2:5" ht="47.5" customHeight="1" x14ac:dyDescent="0.35">
      <c r="B17" s="23" t="s">
        <v>51</v>
      </c>
      <c r="C17" s="94" t="s">
        <v>102</v>
      </c>
      <c r="D17" s="95"/>
      <c r="E17" s="96"/>
    </row>
    <row r="18" spans="2:5" x14ac:dyDescent="0.35">
      <c r="B18" s="28"/>
      <c r="C18" s="68" t="s">
        <v>74</v>
      </c>
      <c r="D18" s="68" t="s">
        <v>103</v>
      </c>
      <c r="E18" s="68" t="s">
        <v>52</v>
      </c>
    </row>
    <row r="19" spans="2:5" x14ac:dyDescent="0.35">
      <c r="B19" s="97" t="s">
        <v>104</v>
      </c>
      <c r="C19" s="97"/>
      <c r="D19" s="97"/>
      <c r="E19" s="97"/>
    </row>
    <row r="20" spans="2:5" x14ac:dyDescent="0.35">
      <c r="B20" s="29" t="s">
        <v>53</v>
      </c>
      <c r="C20" s="27">
        <v>42</v>
      </c>
      <c r="D20" s="66">
        <v>56</v>
      </c>
      <c r="E20" s="66">
        <v>27</v>
      </c>
    </row>
    <row r="21" spans="2:5" x14ac:dyDescent="0.35">
      <c r="B21" s="30" t="s">
        <v>54</v>
      </c>
      <c r="C21" s="27">
        <v>27</v>
      </c>
      <c r="D21" s="31"/>
      <c r="E21" s="31"/>
    </row>
    <row r="22" spans="2:5" x14ac:dyDescent="0.35">
      <c r="B22" s="32" t="s">
        <v>55</v>
      </c>
      <c r="C22" s="27">
        <v>11</v>
      </c>
      <c r="D22" s="31"/>
      <c r="E22" s="31"/>
    </row>
    <row r="23" spans="2:5" x14ac:dyDescent="0.35">
      <c r="B23" s="97" t="s">
        <v>105</v>
      </c>
      <c r="C23" s="97"/>
      <c r="D23" s="97"/>
      <c r="E23" s="97"/>
    </row>
    <row r="24" spans="2:5" x14ac:dyDescent="0.35">
      <c r="B24" s="29" t="s">
        <v>56</v>
      </c>
      <c r="C24" s="27">
        <v>32</v>
      </c>
      <c r="D24" s="27">
        <v>54</v>
      </c>
      <c r="E24" s="27">
        <v>25</v>
      </c>
    </row>
    <row r="25" spans="2:5" x14ac:dyDescent="0.35">
      <c r="B25" s="29" t="s">
        <v>57</v>
      </c>
      <c r="C25" s="27">
        <v>25</v>
      </c>
      <c r="D25" s="27">
        <v>27</v>
      </c>
      <c r="E25" s="27">
        <v>17</v>
      </c>
    </row>
    <row r="26" spans="2:5" x14ac:dyDescent="0.35">
      <c r="B26" s="29" t="s">
        <v>58</v>
      </c>
      <c r="C26" s="27">
        <v>12</v>
      </c>
      <c r="D26" s="31"/>
      <c r="E26" s="31"/>
    </row>
    <row r="27" spans="2:5" x14ac:dyDescent="0.35">
      <c r="B27" s="29" t="s">
        <v>59</v>
      </c>
      <c r="C27" s="27">
        <v>32</v>
      </c>
      <c r="D27" s="66">
        <v>46</v>
      </c>
      <c r="E27" s="66">
        <v>19</v>
      </c>
    </row>
    <row r="28" spans="2:5" x14ac:dyDescent="0.35">
      <c r="B28" s="69" t="s">
        <v>60</v>
      </c>
      <c r="C28" s="66">
        <v>15</v>
      </c>
      <c r="D28" s="66">
        <v>18</v>
      </c>
      <c r="E28" s="66">
        <v>6</v>
      </c>
    </row>
    <row r="29" spans="2:5" x14ac:dyDescent="0.35">
      <c r="B29" s="98" t="s">
        <v>106</v>
      </c>
      <c r="C29" s="99"/>
      <c r="D29" s="99"/>
      <c r="E29" s="100"/>
    </row>
    <row r="30" spans="2:5" x14ac:dyDescent="0.35">
      <c r="B30" s="33" t="s">
        <v>107</v>
      </c>
      <c r="C30" s="27">
        <v>24</v>
      </c>
      <c r="D30" s="27">
        <v>40</v>
      </c>
      <c r="E30" s="27">
        <v>15</v>
      </c>
    </row>
    <row r="31" spans="2:5" x14ac:dyDescent="0.35">
      <c r="B31" s="33" t="s">
        <v>108</v>
      </c>
      <c r="C31" s="27">
        <v>27</v>
      </c>
      <c r="D31" s="27">
        <v>36</v>
      </c>
      <c r="E31" s="27">
        <v>8</v>
      </c>
    </row>
    <row r="32" spans="2:5" x14ac:dyDescent="0.35">
      <c r="B32" s="101" t="s">
        <v>109</v>
      </c>
      <c r="C32" s="102"/>
      <c r="D32" s="102"/>
      <c r="E32" s="103"/>
    </row>
    <row r="33" spans="2:9" x14ac:dyDescent="0.35">
      <c r="B33" s="33" t="s">
        <v>61</v>
      </c>
      <c r="C33" s="27">
        <v>11</v>
      </c>
      <c r="D33" s="31"/>
      <c r="E33" s="31"/>
    </row>
    <row r="34" spans="2:9" x14ac:dyDescent="0.35">
      <c r="B34" s="33" t="s">
        <v>110</v>
      </c>
      <c r="C34" s="27">
        <v>15</v>
      </c>
      <c r="D34" s="31"/>
      <c r="E34" s="31"/>
    </row>
    <row r="35" spans="2:9" ht="21.5" customHeight="1" x14ac:dyDescent="0.35">
      <c r="B35" s="93" t="s">
        <v>111</v>
      </c>
      <c r="C35" s="93"/>
      <c r="D35" s="93"/>
      <c r="E35" s="93"/>
      <c r="F35" s="52"/>
      <c r="G35" s="52"/>
    </row>
    <row r="36" spans="2:9" ht="32.5" customHeight="1" x14ac:dyDescent="0.35">
      <c r="B36" s="93" t="s">
        <v>112</v>
      </c>
      <c r="C36" s="93"/>
      <c r="D36" s="93"/>
      <c r="E36" s="93"/>
      <c r="F36" s="34"/>
      <c r="G36" s="34"/>
    </row>
    <row r="37" spans="2:9" ht="22.5" customHeight="1" x14ac:dyDescent="0.35">
      <c r="B37" s="93" t="s">
        <v>113</v>
      </c>
      <c r="C37" s="93"/>
      <c r="D37" s="93"/>
      <c r="E37" s="93"/>
      <c r="F37" s="115"/>
      <c r="G37" s="115"/>
      <c r="H37" s="52"/>
      <c r="I37" s="52"/>
    </row>
    <row r="38" spans="2:9" ht="25" customHeight="1" x14ac:dyDescent="0.35">
      <c r="B38" s="93" t="s">
        <v>114</v>
      </c>
      <c r="C38" s="93"/>
      <c r="D38" s="93"/>
      <c r="E38" s="93"/>
      <c r="F38" s="116"/>
      <c r="G38" s="116"/>
      <c r="H38" s="52"/>
      <c r="I38" s="52"/>
    </row>
    <row r="39" spans="2:9" ht="48" customHeight="1" x14ac:dyDescent="0.35">
      <c r="B39" s="117"/>
      <c r="C39" s="116"/>
      <c r="D39" s="52"/>
      <c r="E39" s="52"/>
      <c r="F39" s="52"/>
      <c r="G39" s="52"/>
      <c r="H39" s="52"/>
      <c r="I39" s="52"/>
    </row>
    <row r="40" spans="2:9" x14ac:dyDescent="0.35">
      <c r="B40" s="52"/>
      <c r="C40" s="52"/>
      <c r="D40" s="52"/>
      <c r="E40" s="52"/>
      <c r="F40" s="52"/>
      <c r="G40" s="52"/>
      <c r="H40" s="52"/>
      <c r="I40" s="52"/>
    </row>
    <row r="41" spans="2:9" x14ac:dyDescent="0.35">
      <c r="B41" s="52"/>
      <c r="C41" s="52"/>
      <c r="D41" s="52"/>
      <c r="E41" s="52"/>
      <c r="F41" s="52"/>
      <c r="G41" s="52"/>
      <c r="H41" s="52"/>
      <c r="I41" s="52"/>
    </row>
    <row r="42" spans="2:9" x14ac:dyDescent="0.35">
      <c r="B42" s="52"/>
      <c r="C42" s="52"/>
      <c r="D42" s="52"/>
      <c r="E42" s="52"/>
      <c r="F42" s="52"/>
      <c r="G42" s="52"/>
      <c r="H42" s="52"/>
      <c r="I42" s="52"/>
    </row>
    <row r="43" spans="2:9" x14ac:dyDescent="0.35">
      <c r="B43" s="52"/>
      <c r="C43" s="52"/>
      <c r="D43" s="52"/>
      <c r="E43" s="52"/>
      <c r="F43" s="52"/>
      <c r="G43" s="52"/>
      <c r="H43" s="52"/>
      <c r="I43" s="52"/>
    </row>
  </sheetData>
  <mergeCells count="9">
    <mergeCell ref="B35:E35"/>
    <mergeCell ref="B36:E36"/>
    <mergeCell ref="B37:E37"/>
    <mergeCell ref="B38:E38"/>
    <mergeCell ref="C17:E17"/>
    <mergeCell ref="B19:E19"/>
    <mergeCell ref="B23:E23"/>
    <mergeCell ref="B29:E29"/>
    <mergeCell ref="B32:E3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73"/>
  <sheetViews>
    <sheetView topLeftCell="A22" zoomScale="70" zoomScaleNormal="70" workbookViewId="0">
      <selection activeCell="L53" sqref="L53"/>
    </sheetView>
  </sheetViews>
  <sheetFormatPr baseColWidth="10" defaultColWidth="10.81640625" defaultRowHeight="14.5" x14ac:dyDescent="0.35"/>
  <cols>
    <col min="1" max="1" width="2.7265625" style="1" customWidth="1"/>
    <col min="2" max="2" width="63.26953125" style="1" customWidth="1"/>
    <col min="3" max="11" width="11.1796875" style="1" customWidth="1"/>
    <col min="12" max="12" width="34.453125" style="1" customWidth="1"/>
    <col min="13" max="17" width="11.1796875" style="1" customWidth="1"/>
    <col min="18" max="18" width="10.81640625" style="1"/>
    <col min="19" max="31" width="19.81640625" style="1" customWidth="1"/>
    <col min="32" max="16384" width="10.81640625" style="1"/>
  </cols>
  <sheetData>
    <row r="2" spans="2:35" x14ac:dyDescent="0.35">
      <c r="B2" s="78" t="s">
        <v>141</v>
      </c>
    </row>
    <row r="4" spans="2:35" ht="29" x14ac:dyDescent="0.35">
      <c r="B4" s="21"/>
      <c r="C4" s="109">
        <v>2016</v>
      </c>
      <c r="D4" s="109">
        <v>2017</v>
      </c>
      <c r="E4" s="109">
        <v>2018</v>
      </c>
      <c r="F4" s="109">
        <v>2019</v>
      </c>
      <c r="G4" s="109">
        <v>2020</v>
      </c>
      <c r="H4" s="109">
        <v>2021</v>
      </c>
      <c r="I4" s="109">
        <v>2022</v>
      </c>
      <c r="J4" s="109">
        <v>2023</v>
      </c>
      <c r="K4" s="110">
        <v>2024</v>
      </c>
      <c r="L4" s="108" t="s">
        <v>140</v>
      </c>
    </row>
    <row r="5" spans="2:35" x14ac:dyDescent="0.35">
      <c r="B5" s="21" t="s">
        <v>39</v>
      </c>
      <c r="C5" s="36">
        <v>105.92755214050494</v>
      </c>
      <c r="D5" s="36">
        <v>96.246973365617421</v>
      </c>
      <c r="E5" s="36">
        <v>96.871239470517452</v>
      </c>
      <c r="F5" s="21">
        <v>100</v>
      </c>
      <c r="G5" s="36">
        <v>96.032672112018673</v>
      </c>
      <c r="H5" s="36">
        <v>102.9171528588098</v>
      </c>
      <c r="I5" s="36">
        <v>111.90198366394399</v>
      </c>
      <c r="J5" s="36">
        <v>116.21936989498249</v>
      </c>
      <c r="K5" s="57">
        <v>113.88564760793464</v>
      </c>
      <c r="L5" s="36">
        <f>((K5/C5)^(1/8)-1)*100</f>
        <v>0.90960528915653427</v>
      </c>
      <c r="X5" s="89"/>
      <c r="Y5" s="89"/>
      <c r="Z5" s="89"/>
      <c r="AA5" s="89"/>
      <c r="AC5" s="89"/>
      <c r="AD5" s="89"/>
      <c r="AE5" s="89"/>
      <c r="AF5" s="89"/>
      <c r="AG5" s="89"/>
      <c r="AI5" s="17"/>
    </row>
    <row r="6" spans="2:35" ht="31.5" customHeight="1" x14ac:dyDescent="0.35">
      <c r="B6" s="21"/>
      <c r="C6" s="35">
        <v>2016</v>
      </c>
      <c r="D6" s="35">
        <v>2017</v>
      </c>
      <c r="E6" s="35">
        <v>2018</v>
      </c>
      <c r="F6" s="35">
        <v>2019</v>
      </c>
      <c r="G6" s="35">
        <v>2020</v>
      </c>
      <c r="H6" s="35">
        <v>2021</v>
      </c>
      <c r="I6" s="35">
        <v>2022</v>
      </c>
      <c r="J6" s="35">
        <v>2023</v>
      </c>
      <c r="K6" s="56">
        <v>2024</v>
      </c>
      <c r="L6" s="21"/>
      <c r="X6" s="90"/>
      <c r="Y6" s="90"/>
      <c r="Z6" s="90"/>
      <c r="AA6" s="90"/>
      <c r="AC6" s="89"/>
      <c r="AD6" s="89"/>
      <c r="AE6" s="89"/>
      <c r="AF6" s="89"/>
      <c r="AG6" s="89"/>
      <c r="AI6" s="17"/>
    </row>
    <row r="7" spans="2:35" x14ac:dyDescent="0.35">
      <c r="B7" s="21" t="s">
        <v>15</v>
      </c>
      <c r="C7" s="2">
        <v>79.681274900398407</v>
      </c>
      <c r="D7" s="2">
        <v>80.998248686514884</v>
      </c>
      <c r="E7" s="2">
        <v>90.49153908138598</v>
      </c>
      <c r="F7" s="1">
        <v>100</v>
      </c>
      <c r="G7" s="2">
        <v>114.60632818248713</v>
      </c>
      <c r="H7" s="2">
        <v>115.37895511405445</v>
      </c>
      <c r="I7" s="2">
        <v>131.8616629874908</v>
      </c>
      <c r="J7" s="2">
        <v>147.71891096394407</v>
      </c>
      <c r="K7" s="2">
        <v>157.8366445916115</v>
      </c>
      <c r="L7" s="36">
        <v>8.3471850967918861</v>
      </c>
      <c r="AI7" s="17"/>
    </row>
    <row r="8" spans="2:35" x14ac:dyDescent="0.35">
      <c r="B8" s="21"/>
      <c r="C8" s="35">
        <v>2016</v>
      </c>
      <c r="D8" s="35">
        <v>2017</v>
      </c>
      <c r="E8" s="35">
        <v>2018</v>
      </c>
      <c r="F8" s="35">
        <v>2019</v>
      </c>
      <c r="G8" s="35">
        <v>2020</v>
      </c>
      <c r="H8" s="35">
        <v>2021</v>
      </c>
      <c r="I8" s="35">
        <v>2022</v>
      </c>
      <c r="J8" s="35">
        <v>2023</v>
      </c>
      <c r="K8" s="56">
        <v>2024</v>
      </c>
      <c r="L8" s="21"/>
    </row>
    <row r="9" spans="2:35" x14ac:dyDescent="0.35">
      <c r="B9" s="21" t="s">
        <v>67</v>
      </c>
      <c r="C9" s="36">
        <v>69.491570096906543</v>
      </c>
      <c r="D9" s="36">
        <v>73.776607044228228</v>
      </c>
      <c r="E9" s="36">
        <v>85.040552253590889</v>
      </c>
      <c r="F9" s="21">
        <v>100</v>
      </c>
      <c r="G9" s="36">
        <v>110.2029001117499</v>
      </c>
      <c r="H9" s="36">
        <v>126.38711240962394</v>
      </c>
      <c r="I9" s="36">
        <v>145.96286672141963</v>
      </c>
      <c r="J9" s="36">
        <v>160.3617734573802</v>
      </c>
      <c r="K9" s="57">
        <v>164.5012319416208</v>
      </c>
      <c r="L9" s="36">
        <v>10.021095490674426</v>
      </c>
    </row>
    <row r="10" spans="2:35" x14ac:dyDescent="0.35">
      <c r="B10" s="21" t="s">
        <v>68</v>
      </c>
      <c r="C10" s="36">
        <v>86.416391857911123</v>
      </c>
      <c r="D10" s="36">
        <v>91.997975496526934</v>
      </c>
      <c r="E10" s="36">
        <v>98.562990727738637</v>
      </c>
      <c r="F10" s="21">
        <v>100</v>
      </c>
      <c r="G10" s="36">
        <v>90.847782643590861</v>
      </c>
      <c r="H10" s="36">
        <v>98.798269853325365</v>
      </c>
      <c r="I10" s="36">
        <v>107.95102586062946</v>
      </c>
      <c r="J10" s="36">
        <v>110.90606467042645</v>
      </c>
      <c r="K10" s="57">
        <v>110.67067422932524</v>
      </c>
      <c r="L10" s="36">
        <v>2.9007468903797351</v>
      </c>
    </row>
    <row r="11" spans="2:35" x14ac:dyDescent="0.35">
      <c r="B11" s="21" t="s">
        <v>1</v>
      </c>
      <c r="C11" s="36">
        <v>54.893764567642009</v>
      </c>
      <c r="D11" s="36">
        <v>67.850814869392849</v>
      </c>
      <c r="E11" s="36">
        <v>88.355169551814086</v>
      </c>
      <c r="F11" s="21">
        <v>100</v>
      </c>
      <c r="G11" s="36">
        <v>102.33641758154231</v>
      </c>
      <c r="H11" s="36">
        <v>127.95205033917881</v>
      </c>
      <c r="I11" s="36">
        <v>140.86739502714758</v>
      </c>
      <c r="J11" s="36">
        <v>151.441012093616</v>
      </c>
      <c r="K11" s="57">
        <v>162.5456331558895</v>
      </c>
      <c r="L11" s="36">
        <v>11.32242870532929</v>
      </c>
    </row>
    <row r="12" spans="2:35" x14ac:dyDescent="0.35">
      <c r="B12" s="21" t="s">
        <v>63</v>
      </c>
      <c r="C12" s="36">
        <v>41.361575421262778</v>
      </c>
      <c r="D12" s="36">
        <v>59.997611084567602</v>
      </c>
      <c r="E12" s="36">
        <v>80.787225386493077</v>
      </c>
      <c r="F12" s="21">
        <v>100</v>
      </c>
      <c r="G12" s="36">
        <v>111.46659841310469</v>
      </c>
      <c r="H12" s="36">
        <v>148.54961180786623</v>
      </c>
      <c r="I12" s="36">
        <v>165.82629468475386</v>
      </c>
      <c r="J12" s="36">
        <v>180.88473679720161</v>
      </c>
      <c r="K12" s="57">
        <v>196.60011944373349</v>
      </c>
      <c r="L12" s="36">
        <v>15.278686838961629</v>
      </c>
    </row>
    <row r="13" spans="2:35" x14ac:dyDescent="0.35">
      <c r="B13" s="21"/>
      <c r="C13" s="35">
        <v>2016</v>
      </c>
      <c r="D13" s="35">
        <v>2017</v>
      </c>
      <c r="E13" s="35">
        <v>2018</v>
      </c>
      <c r="F13" s="35">
        <v>2019</v>
      </c>
      <c r="G13" s="35">
        <v>2020</v>
      </c>
      <c r="H13" s="35">
        <v>2021</v>
      </c>
      <c r="I13" s="35">
        <v>2022</v>
      </c>
      <c r="J13" s="35">
        <v>2023</v>
      </c>
      <c r="K13" s="56">
        <v>2024</v>
      </c>
      <c r="L13" s="21"/>
    </row>
    <row r="14" spans="2:35" x14ac:dyDescent="0.35">
      <c r="B14" s="21" t="s">
        <v>40</v>
      </c>
      <c r="C14" s="36">
        <v>116.46648941047034</v>
      </c>
      <c r="D14" s="36">
        <v>109.28009558896744</v>
      </c>
      <c r="E14" s="36">
        <v>98.766666666666666</v>
      </c>
      <c r="F14" s="21">
        <v>100</v>
      </c>
      <c r="G14" s="36">
        <v>94.073098452420155</v>
      </c>
      <c r="H14" s="36">
        <v>92.78893645044451</v>
      </c>
      <c r="I14" s="36">
        <v>94.073098452420155</v>
      </c>
      <c r="J14" s="36">
        <v>95.258478761936118</v>
      </c>
      <c r="K14" s="57">
        <v>94.193831632093065</v>
      </c>
      <c r="L14" s="36">
        <v>-2.9522659381045036</v>
      </c>
    </row>
    <row r="15" spans="2:35" x14ac:dyDescent="0.35">
      <c r="B15" s="21" t="s">
        <v>3</v>
      </c>
      <c r="C15" s="36">
        <v>114.63517592182191</v>
      </c>
      <c r="D15" s="36">
        <v>109.662504746376</v>
      </c>
      <c r="E15" s="36">
        <v>102.5092802391168</v>
      </c>
      <c r="F15" s="21">
        <v>100</v>
      </c>
      <c r="G15" s="36">
        <v>81.12745704042527</v>
      </c>
      <c r="H15" s="36">
        <v>76.735072320435165</v>
      </c>
      <c r="I15" s="36">
        <v>73.494869575967357</v>
      </c>
      <c r="J15" s="36">
        <v>67.091111385832619</v>
      </c>
      <c r="K15" s="57">
        <v>59.700828285325748</v>
      </c>
      <c r="L15" s="36">
        <v>-8.080550806717735</v>
      </c>
    </row>
    <row r="16" spans="2:35" x14ac:dyDescent="0.35">
      <c r="B16" s="21"/>
      <c r="C16" s="35">
        <v>2016</v>
      </c>
      <c r="D16" s="35">
        <v>2017</v>
      </c>
      <c r="E16" s="35">
        <v>2018</v>
      </c>
      <c r="F16" s="35">
        <v>2019</v>
      </c>
      <c r="G16" s="35">
        <v>2020</v>
      </c>
      <c r="H16" s="35">
        <v>2021</v>
      </c>
      <c r="I16" s="35">
        <v>2022</v>
      </c>
      <c r="J16" s="35">
        <v>2023</v>
      </c>
      <c r="K16" s="56">
        <v>2024</v>
      </c>
      <c r="L16" s="21"/>
    </row>
    <row r="17" spans="2:33" x14ac:dyDescent="0.35">
      <c r="B17" s="21" t="s">
        <v>4</v>
      </c>
      <c r="C17" s="36">
        <v>98.067760869197514</v>
      </c>
      <c r="D17" s="36">
        <v>98.691375631651866</v>
      </c>
      <c r="E17" s="36">
        <v>97.120956257371176</v>
      </c>
      <c r="F17" s="21">
        <v>100</v>
      </c>
      <c r="G17" s="36">
        <v>76.237098005376524</v>
      </c>
      <c r="H17" s="36">
        <v>80.569430154989874</v>
      </c>
      <c r="I17" s="36">
        <v>91.310029537685438</v>
      </c>
      <c r="J17" s="36">
        <v>88.79849656499951</v>
      </c>
      <c r="K17" s="57">
        <v>84.045777881030617</v>
      </c>
      <c r="L17" s="36">
        <v>-1.9148110154286857</v>
      </c>
      <c r="M17" s="51"/>
    </row>
    <row r="18" spans="2:33" x14ac:dyDescent="0.35">
      <c r="B18" s="21"/>
      <c r="C18" s="35">
        <v>2016</v>
      </c>
      <c r="D18" s="35">
        <v>2017</v>
      </c>
      <c r="E18" s="35">
        <v>2018</v>
      </c>
      <c r="F18" s="35">
        <v>2019</v>
      </c>
      <c r="G18" s="35">
        <v>2020</v>
      </c>
      <c r="H18" s="35">
        <v>2021</v>
      </c>
      <c r="I18" s="35">
        <v>2022</v>
      </c>
      <c r="J18" s="35">
        <v>2023</v>
      </c>
      <c r="K18" s="56">
        <v>2024</v>
      </c>
      <c r="L18" s="21"/>
    </row>
    <row r="19" spans="2:33" x14ac:dyDescent="0.35">
      <c r="B19" s="21" t="s">
        <v>20</v>
      </c>
      <c r="C19" s="36">
        <v>104.9122694234733</v>
      </c>
      <c r="D19" s="36">
        <v>106.44183178102121</v>
      </c>
      <c r="E19" s="36">
        <v>100.06587364927348</v>
      </c>
      <c r="F19" s="21">
        <v>100</v>
      </c>
      <c r="G19" s="36">
        <v>79.983182695923702</v>
      </c>
      <c r="H19" s="36">
        <v>80.237977529039426</v>
      </c>
      <c r="I19" s="36">
        <v>89.350590084551314</v>
      </c>
      <c r="J19" s="36">
        <v>91.725294831002998</v>
      </c>
      <c r="K19" s="57">
        <v>92.180798695180016</v>
      </c>
      <c r="L19" s="36">
        <v>-1.6338624626558995</v>
      </c>
      <c r="X19" s="18"/>
      <c r="AC19" s="89"/>
      <c r="AD19" s="89"/>
      <c r="AE19" s="89"/>
      <c r="AF19" s="89"/>
      <c r="AG19" s="89"/>
    </row>
    <row r="20" spans="2:33" x14ac:dyDescent="0.35">
      <c r="B20" s="21"/>
      <c r="C20" s="35">
        <v>2016</v>
      </c>
      <c r="D20" s="35">
        <v>2017</v>
      </c>
      <c r="E20" s="35">
        <v>2018</v>
      </c>
      <c r="F20" s="35">
        <v>2019</v>
      </c>
      <c r="G20" s="35">
        <v>2020</v>
      </c>
      <c r="H20" s="35">
        <v>2021</v>
      </c>
      <c r="I20" s="35">
        <v>2022</v>
      </c>
      <c r="J20" s="35">
        <v>2023</v>
      </c>
      <c r="K20" s="56">
        <v>2024</v>
      </c>
      <c r="L20" s="21"/>
    </row>
    <row r="21" spans="2:33" x14ac:dyDescent="0.35">
      <c r="B21" s="21" t="s">
        <v>9</v>
      </c>
      <c r="C21" s="36">
        <v>103.79449857556679</v>
      </c>
      <c r="D21" s="36">
        <v>103.50836472138138</v>
      </c>
      <c r="E21" s="36">
        <v>100.08205077202317</v>
      </c>
      <c r="F21" s="21">
        <v>100</v>
      </c>
      <c r="G21" s="36">
        <v>85.980855687718773</v>
      </c>
      <c r="H21" s="36">
        <v>88.051228454353918</v>
      </c>
      <c r="I21" s="36">
        <v>89.140330795135952</v>
      </c>
      <c r="J21" s="36">
        <v>91.576834386768184</v>
      </c>
      <c r="K21" s="57">
        <v>87.733539043447976</v>
      </c>
      <c r="L21" s="36">
        <v>-2.0970688480125843</v>
      </c>
      <c r="X21" s="19"/>
      <c r="AC21" s="19"/>
    </row>
    <row r="22" spans="2:33" x14ac:dyDescent="0.35">
      <c r="B22" s="21"/>
      <c r="C22" s="35">
        <v>2016</v>
      </c>
      <c r="D22" s="35">
        <v>2017</v>
      </c>
      <c r="E22" s="35">
        <v>2018</v>
      </c>
      <c r="F22" s="35">
        <v>2019</v>
      </c>
      <c r="G22" s="35">
        <v>2020</v>
      </c>
      <c r="H22" s="35">
        <v>2021</v>
      </c>
      <c r="I22" s="35">
        <v>2022</v>
      </c>
      <c r="J22" s="35">
        <v>2023</v>
      </c>
      <c r="K22" s="56">
        <v>2024</v>
      </c>
      <c r="L22" s="21"/>
    </row>
    <row r="23" spans="2:33" x14ac:dyDescent="0.35">
      <c r="B23" s="21" t="s">
        <v>66</v>
      </c>
      <c r="C23" s="36">
        <v>115.07673076572996</v>
      </c>
      <c r="D23" s="36">
        <v>109.59996899485185</v>
      </c>
      <c r="E23" s="36">
        <v>101.86383748571268</v>
      </c>
      <c r="F23" s="21">
        <v>100</v>
      </c>
      <c r="G23" s="36">
        <v>87.016884480996922</v>
      </c>
      <c r="H23" s="36">
        <v>87.333423841201565</v>
      </c>
      <c r="I23" s="36">
        <v>95.130438510621573</v>
      </c>
      <c r="J23" s="36">
        <v>99.975705782738245</v>
      </c>
      <c r="K23" s="57">
        <v>98.305835613893436</v>
      </c>
      <c r="L23" s="36">
        <v>-2.231095159195573</v>
      </c>
    </row>
    <row r="24" spans="2:33" x14ac:dyDescent="0.35">
      <c r="B24" s="21" t="s">
        <v>7</v>
      </c>
      <c r="C24" s="36">
        <v>101.15537906983559</v>
      </c>
      <c r="D24" s="36">
        <v>100.73977067476945</v>
      </c>
      <c r="E24" s="36">
        <v>99.724253775716505</v>
      </c>
      <c r="F24" s="21">
        <v>100</v>
      </c>
      <c r="G24" s="36">
        <v>82.994848608383052</v>
      </c>
      <c r="H24" s="36">
        <v>83.482192491568767</v>
      </c>
      <c r="I24" s="36">
        <v>91.101063632657599</v>
      </c>
      <c r="J24" s="36">
        <v>94.349405181039913</v>
      </c>
      <c r="K24" s="57">
        <v>94.896786865804387</v>
      </c>
      <c r="L24" s="36">
        <v>-0.79682579489421812</v>
      </c>
    </row>
    <row r="25" spans="2:33" x14ac:dyDescent="0.35">
      <c r="B25" s="21" t="s">
        <v>8</v>
      </c>
      <c r="C25" s="36">
        <v>115.24012429525705</v>
      </c>
      <c r="D25" s="36">
        <v>110.87099014840976</v>
      </c>
      <c r="E25" s="36">
        <v>105.12267766391736</v>
      </c>
      <c r="F25" s="21">
        <v>100</v>
      </c>
      <c r="G25" s="36">
        <v>82.167828329948946</v>
      </c>
      <c r="H25" s="36">
        <v>85.358652104714338</v>
      </c>
      <c r="I25" s="36">
        <v>111.24526645079852</v>
      </c>
      <c r="J25" s="36">
        <v>101.6190110312277</v>
      </c>
      <c r="K25" s="57">
        <v>105.43109598814556</v>
      </c>
      <c r="L25" s="36">
        <v>-1.3959214379838825</v>
      </c>
    </row>
    <row r="26" spans="2:33" x14ac:dyDescent="0.35">
      <c r="B26" s="21"/>
      <c r="C26" s="35">
        <v>2016</v>
      </c>
      <c r="D26" s="35">
        <v>2017</v>
      </c>
      <c r="E26" s="35">
        <v>2018</v>
      </c>
      <c r="F26" s="35">
        <v>2019</v>
      </c>
      <c r="G26" s="35">
        <v>2020</v>
      </c>
      <c r="H26" s="35">
        <v>2021</v>
      </c>
      <c r="I26" s="35">
        <v>2022</v>
      </c>
      <c r="J26" s="35">
        <v>2023</v>
      </c>
      <c r="K26" s="56">
        <v>2024</v>
      </c>
      <c r="L26" s="36"/>
    </row>
    <row r="27" spans="2:33" x14ac:dyDescent="0.35">
      <c r="B27" s="21" t="s">
        <v>10</v>
      </c>
      <c r="C27" s="36">
        <v>102.74461437263608</v>
      </c>
      <c r="D27" s="36">
        <v>106.02694886706709</v>
      </c>
      <c r="E27" s="36">
        <v>105.07113391581639</v>
      </c>
      <c r="F27" s="21">
        <v>100</v>
      </c>
      <c r="G27" s="36">
        <v>90.646083089565607</v>
      </c>
      <c r="H27" s="36">
        <v>124.77074561922636</v>
      </c>
      <c r="I27" s="36">
        <v>141.82434069990927</v>
      </c>
      <c r="J27" s="36">
        <v>148.1606105183657</v>
      </c>
      <c r="K27" s="57">
        <v>163.75723553316087</v>
      </c>
      <c r="L27" s="36">
        <v>5.9898481135682191</v>
      </c>
    </row>
    <row r="28" spans="2:33" x14ac:dyDescent="0.35">
      <c r="B28" s="21" t="s">
        <v>12</v>
      </c>
      <c r="C28" s="36">
        <v>84.429873032245382</v>
      </c>
      <c r="D28" s="36">
        <v>92.989357831544467</v>
      </c>
      <c r="E28" s="36">
        <v>96.519043011698471</v>
      </c>
      <c r="F28" s="21">
        <v>100</v>
      </c>
      <c r="G28" s="36">
        <v>87.543296712637328</v>
      </c>
      <c r="H28" s="36">
        <v>99.262627765145879</v>
      </c>
      <c r="I28" s="36">
        <v>104.15010943708963</v>
      </c>
      <c r="J28" s="36">
        <v>103.67836120614548</v>
      </c>
      <c r="K28" s="57">
        <v>111.19020803671987</v>
      </c>
      <c r="L28" s="36">
        <v>3.1843937007048906</v>
      </c>
    </row>
    <row r="29" spans="2:33" x14ac:dyDescent="0.35">
      <c r="B29" s="21"/>
      <c r="C29" s="35">
        <v>2016</v>
      </c>
      <c r="D29" s="35">
        <v>2017</v>
      </c>
      <c r="E29" s="35">
        <v>2018</v>
      </c>
      <c r="F29" s="35">
        <v>2019</v>
      </c>
      <c r="G29" s="35">
        <v>2020</v>
      </c>
      <c r="H29" s="35">
        <v>2021</v>
      </c>
      <c r="I29" s="35">
        <v>2022</v>
      </c>
      <c r="J29" s="35">
        <v>2023</v>
      </c>
      <c r="K29" s="56">
        <v>2024</v>
      </c>
      <c r="L29" s="36"/>
    </row>
    <row r="30" spans="2:33" x14ac:dyDescent="0.35">
      <c r="B30" s="21" t="s">
        <v>13</v>
      </c>
      <c r="C30" s="36">
        <v>82.564094389025939</v>
      </c>
      <c r="D30" s="36">
        <v>85.08749010447336</v>
      </c>
      <c r="E30" s="36">
        <v>86.701501834036947</v>
      </c>
      <c r="F30" s="21">
        <v>100</v>
      </c>
      <c r="G30" s="36">
        <v>104.51862937736918</v>
      </c>
      <c r="H30" s="36">
        <v>122.02301565485341</v>
      </c>
      <c r="I30" s="36">
        <v>132.28435973923283</v>
      </c>
      <c r="J30" s="36">
        <v>139.70183494022106</v>
      </c>
      <c r="K30" s="57">
        <v>141.63247576093852</v>
      </c>
      <c r="L30" s="36">
        <v>6.5664426224234962</v>
      </c>
    </row>
    <row r="31" spans="2:33" x14ac:dyDescent="0.35">
      <c r="E31" s="2"/>
      <c r="F31" s="2"/>
      <c r="G31" s="2"/>
      <c r="H31" s="2"/>
      <c r="I31" s="2"/>
      <c r="J31" s="2"/>
      <c r="K31" s="2"/>
      <c r="L31" s="2"/>
    </row>
    <row r="32" spans="2:33" x14ac:dyDescent="0.35">
      <c r="B32" s="71" t="s">
        <v>130</v>
      </c>
      <c r="E32" s="2"/>
      <c r="F32" s="2"/>
      <c r="G32" s="2"/>
      <c r="H32" s="2"/>
      <c r="I32" s="2"/>
      <c r="J32" s="2"/>
      <c r="K32" s="2"/>
      <c r="L32" s="2"/>
    </row>
    <row r="33" spans="1:12" x14ac:dyDescent="0.35">
      <c r="B33" s="71" t="s">
        <v>123</v>
      </c>
      <c r="C33" s="22"/>
      <c r="D33" s="22"/>
      <c r="E33" s="22"/>
      <c r="F33" s="22"/>
      <c r="G33" s="22"/>
      <c r="H33" s="22"/>
      <c r="I33" s="22"/>
      <c r="J33" s="22"/>
      <c r="K33" s="2"/>
      <c r="L33" s="2"/>
    </row>
    <row r="34" spans="1:12" ht="21.65" customHeight="1" x14ac:dyDescent="0.35">
      <c r="B34" s="80" t="s">
        <v>131</v>
      </c>
      <c r="C34" s="79"/>
      <c r="D34" s="79"/>
      <c r="E34" s="79"/>
      <c r="F34" s="79"/>
      <c r="G34" s="79"/>
      <c r="H34" s="79"/>
      <c r="I34" s="79"/>
      <c r="J34" s="79"/>
    </row>
    <row r="35" spans="1:12" x14ac:dyDescent="0.35">
      <c r="C35" s="2"/>
      <c r="D35" s="2"/>
      <c r="E35" s="2"/>
      <c r="F35" s="2"/>
      <c r="G35" s="2"/>
      <c r="H35" s="2"/>
      <c r="I35" s="2"/>
      <c r="J35" s="2"/>
    </row>
    <row r="36" spans="1:12" x14ac:dyDescent="0.35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</row>
    <row r="37" spans="1:12" x14ac:dyDescent="0.35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</row>
    <row r="38" spans="1:12" x14ac:dyDescent="0.35">
      <c r="A38" s="52"/>
      <c r="B38" s="52"/>
      <c r="C38" s="53"/>
      <c r="D38" s="53"/>
      <c r="E38" s="53"/>
      <c r="F38" s="53"/>
      <c r="G38" s="53"/>
      <c r="H38" s="53"/>
      <c r="I38" s="53"/>
      <c r="J38" s="53"/>
      <c r="K38" s="53"/>
      <c r="L38" s="52"/>
    </row>
    <row r="39" spans="1:12" x14ac:dyDescent="0.35">
      <c r="A39" s="52"/>
      <c r="B39" s="52"/>
      <c r="C39" s="54"/>
      <c r="D39" s="54"/>
      <c r="E39" s="54"/>
      <c r="F39" s="54"/>
      <c r="G39" s="54"/>
      <c r="H39" s="54"/>
      <c r="I39" s="54"/>
      <c r="J39" s="54"/>
      <c r="K39" s="54"/>
      <c r="L39" s="55"/>
    </row>
    <row r="40" spans="1:12" x14ac:dyDescent="0.35">
      <c r="A40" s="52"/>
      <c r="B40" s="52"/>
      <c r="C40" s="54"/>
      <c r="D40" s="54"/>
      <c r="E40" s="54"/>
      <c r="F40" s="54"/>
      <c r="G40" s="54"/>
      <c r="H40" s="54"/>
      <c r="I40" s="54"/>
      <c r="J40" s="54"/>
      <c r="K40" s="54"/>
      <c r="L40" s="55"/>
    </row>
    <row r="41" spans="1:12" x14ac:dyDescent="0.35">
      <c r="A41" s="52"/>
      <c r="B41" s="52"/>
      <c r="C41" s="54"/>
      <c r="D41" s="54"/>
      <c r="E41" s="54"/>
      <c r="F41" s="54"/>
      <c r="G41" s="54"/>
      <c r="H41" s="54"/>
      <c r="I41" s="54"/>
      <c r="J41" s="54"/>
      <c r="K41" s="54"/>
      <c r="L41" s="55"/>
    </row>
    <row r="42" spans="1:12" x14ac:dyDescent="0.35">
      <c r="A42" s="52"/>
      <c r="B42" s="52"/>
      <c r="C42" s="54"/>
      <c r="D42" s="54"/>
      <c r="E42" s="54"/>
      <c r="F42" s="54"/>
      <c r="G42" s="54"/>
      <c r="H42" s="54"/>
      <c r="I42" s="54"/>
      <c r="J42" s="54"/>
      <c r="K42" s="54"/>
      <c r="L42" s="55"/>
    </row>
    <row r="43" spans="1:12" x14ac:dyDescent="0.35">
      <c r="A43" s="52"/>
      <c r="B43" s="52"/>
      <c r="C43" s="54"/>
      <c r="D43" s="54"/>
      <c r="E43" s="54"/>
      <c r="F43" s="54"/>
      <c r="G43" s="54"/>
      <c r="H43" s="54"/>
      <c r="I43" s="54"/>
      <c r="J43" s="54"/>
      <c r="K43" s="54"/>
      <c r="L43" s="55"/>
    </row>
    <row r="44" spans="1:12" x14ac:dyDescent="0.35">
      <c r="A44" s="52"/>
      <c r="B44" s="52"/>
      <c r="C44" s="54"/>
      <c r="D44" s="54"/>
      <c r="E44" s="54"/>
      <c r="F44" s="54"/>
      <c r="G44" s="54"/>
      <c r="H44" s="54"/>
      <c r="I44" s="54"/>
      <c r="J44" s="54"/>
      <c r="K44" s="54"/>
      <c r="L44" s="55"/>
    </row>
    <row r="45" spans="1:12" x14ac:dyDescent="0.35">
      <c r="A45" s="52"/>
      <c r="B45" s="52"/>
      <c r="C45" s="54"/>
      <c r="D45" s="54"/>
      <c r="E45" s="54"/>
      <c r="F45" s="54"/>
      <c r="G45" s="54"/>
      <c r="H45" s="54"/>
      <c r="I45" s="54"/>
      <c r="J45" s="54"/>
      <c r="K45" s="54"/>
      <c r="L45" s="55"/>
    </row>
    <row r="46" spans="1:12" x14ac:dyDescent="0.35">
      <c r="C46" s="50"/>
      <c r="D46" s="50"/>
      <c r="E46" s="50"/>
      <c r="F46" s="50"/>
      <c r="G46" s="50"/>
      <c r="H46" s="50"/>
      <c r="I46" s="50"/>
      <c r="J46" s="50"/>
      <c r="K46" s="50"/>
      <c r="L46" s="2"/>
    </row>
    <row r="47" spans="1:12" x14ac:dyDescent="0.35">
      <c r="C47" s="50"/>
      <c r="D47" s="50"/>
      <c r="E47" s="50"/>
      <c r="F47" s="50"/>
      <c r="G47" s="50"/>
      <c r="H47" s="50"/>
      <c r="I47" s="50"/>
      <c r="J47" s="50"/>
      <c r="K47" s="50"/>
      <c r="L47" s="2"/>
    </row>
    <row r="48" spans="1:12" x14ac:dyDescent="0.35">
      <c r="C48" s="50"/>
      <c r="D48" s="50"/>
      <c r="E48" s="50"/>
      <c r="F48" s="50"/>
      <c r="G48" s="50"/>
      <c r="H48" s="50"/>
      <c r="I48" s="50"/>
      <c r="J48" s="50"/>
      <c r="K48" s="50"/>
      <c r="L48" s="2"/>
    </row>
    <row r="49" spans="3:12" x14ac:dyDescent="0.35">
      <c r="C49" s="50"/>
      <c r="D49" s="50"/>
      <c r="E49" s="50"/>
      <c r="F49" s="50"/>
      <c r="G49" s="50"/>
      <c r="H49" s="50"/>
      <c r="I49" s="50"/>
      <c r="J49" s="50"/>
      <c r="K49" s="50"/>
      <c r="L49" s="2"/>
    </row>
    <row r="50" spans="3:12" x14ac:dyDescent="0.35">
      <c r="C50" s="50"/>
      <c r="D50" s="50"/>
      <c r="E50" s="50"/>
      <c r="F50" s="50"/>
      <c r="G50" s="50"/>
      <c r="H50" s="50"/>
      <c r="I50" s="50"/>
      <c r="J50" s="50"/>
      <c r="K50" s="50"/>
      <c r="L50" s="2"/>
    </row>
    <row r="51" spans="3:12" x14ac:dyDescent="0.35">
      <c r="C51" s="50"/>
      <c r="D51" s="50"/>
      <c r="E51" s="50"/>
      <c r="F51" s="50"/>
      <c r="G51" s="50"/>
      <c r="H51" s="50"/>
      <c r="I51" s="50"/>
      <c r="J51" s="50"/>
      <c r="K51" s="50"/>
      <c r="L51" s="2"/>
    </row>
    <row r="52" spans="3:12" x14ac:dyDescent="0.35">
      <c r="C52" s="50"/>
      <c r="D52" s="50"/>
      <c r="E52" s="50"/>
      <c r="F52" s="50"/>
      <c r="G52" s="50"/>
      <c r="H52" s="50"/>
      <c r="I52" s="50"/>
      <c r="J52" s="50"/>
      <c r="K52" s="50"/>
      <c r="L52" s="2"/>
    </row>
    <row r="53" spans="3:12" x14ac:dyDescent="0.35">
      <c r="C53" s="50"/>
      <c r="D53" s="50"/>
      <c r="E53" s="50"/>
      <c r="F53" s="50"/>
      <c r="G53" s="50"/>
      <c r="H53" s="50"/>
      <c r="I53" s="50"/>
      <c r="J53" s="50"/>
      <c r="K53" s="50"/>
      <c r="L53" s="2"/>
    </row>
    <row r="54" spans="3:12" x14ac:dyDescent="0.35">
      <c r="C54" s="50"/>
      <c r="D54" s="50"/>
      <c r="E54" s="50"/>
      <c r="F54" s="50"/>
      <c r="G54" s="50"/>
      <c r="H54" s="50"/>
      <c r="I54" s="50"/>
      <c r="J54" s="50"/>
      <c r="K54" s="50"/>
      <c r="L54" s="2"/>
    </row>
    <row r="55" spans="3:12" x14ac:dyDescent="0.35">
      <c r="C55" s="50"/>
      <c r="D55" s="50"/>
      <c r="E55" s="50"/>
      <c r="F55" s="50"/>
      <c r="G55" s="50"/>
      <c r="H55" s="50"/>
      <c r="I55" s="50"/>
      <c r="J55" s="50"/>
      <c r="K55" s="50"/>
      <c r="L55" s="2"/>
    </row>
    <row r="57" spans="3:12" x14ac:dyDescent="0.35">
      <c r="C57" s="2"/>
      <c r="D57" s="2"/>
      <c r="E57" s="2"/>
      <c r="G57" s="2"/>
      <c r="H57" s="2"/>
      <c r="I57" s="2"/>
      <c r="J57" s="2"/>
      <c r="K57" s="2"/>
    </row>
    <row r="58" spans="3:12" x14ac:dyDescent="0.35">
      <c r="C58" s="2"/>
      <c r="D58" s="2"/>
      <c r="E58" s="2"/>
      <c r="G58" s="2"/>
      <c r="H58" s="2"/>
      <c r="I58" s="2"/>
      <c r="J58" s="2"/>
      <c r="K58" s="2"/>
    </row>
    <row r="59" spans="3:12" x14ac:dyDescent="0.35">
      <c r="C59" s="2"/>
      <c r="D59" s="2"/>
      <c r="E59" s="2"/>
      <c r="G59" s="2"/>
      <c r="H59" s="2"/>
      <c r="I59" s="2"/>
      <c r="J59" s="2"/>
      <c r="K59" s="2"/>
    </row>
    <row r="60" spans="3:12" x14ac:dyDescent="0.35">
      <c r="C60" s="2"/>
      <c r="D60" s="2"/>
      <c r="E60" s="2"/>
      <c r="G60" s="2"/>
      <c r="H60" s="2"/>
      <c r="I60" s="2"/>
      <c r="J60" s="2"/>
      <c r="K60" s="2"/>
    </row>
    <row r="61" spans="3:12" x14ac:dyDescent="0.35">
      <c r="C61" s="2"/>
      <c r="D61" s="2"/>
      <c r="E61" s="2"/>
      <c r="G61" s="2"/>
      <c r="H61" s="2"/>
      <c r="I61" s="2"/>
      <c r="J61" s="2"/>
      <c r="K61" s="2"/>
    </row>
    <row r="62" spans="3:12" x14ac:dyDescent="0.35">
      <c r="C62" s="2"/>
      <c r="D62" s="2"/>
      <c r="E62" s="2"/>
      <c r="G62" s="2"/>
      <c r="H62" s="2"/>
      <c r="I62" s="2"/>
      <c r="J62" s="2"/>
      <c r="K62" s="2"/>
    </row>
    <row r="63" spans="3:12" x14ac:dyDescent="0.35">
      <c r="C63" s="2"/>
      <c r="D63" s="2"/>
      <c r="E63" s="2"/>
      <c r="G63" s="2"/>
      <c r="H63" s="2"/>
      <c r="I63" s="2"/>
      <c r="J63" s="2"/>
      <c r="K63" s="2"/>
    </row>
    <row r="64" spans="3:12" x14ac:dyDescent="0.35">
      <c r="C64" s="2"/>
      <c r="D64" s="2"/>
      <c r="E64" s="2"/>
      <c r="G64" s="2"/>
      <c r="H64" s="2"/>
      <c r="I64" s="2"/>
      <c r="J64" s="2"/>
      <c r="K64" s="2"/>
    </row>
    <row r="65" spans="3:11" x14ac:dyDescent="0.35">
      <c r="C65" s="2"/>
      <c r="D65" s="2"/>
      <c r="E65" s="2"/>
      <c r="G65" s="2"/>
      <c r="H65" s="2"/>
      <c r="I65" s="2"/>
      <c r="J65" s="2"/>
      <c r="K65" s="2"/>
    </row>
    <row r="66" spans="3:11" x14ac:dyDescent="0.35">
      <c r="C66" s="2"/>
      <c r="D66" s="2"/>
      <c r="E66" s="2"/>
      <c r="G66" s="2"/>
      <c r="H66" s="2"/>
      <c r="I66" s="2"/>
      <c r="J66" s="2"/>
      <c r="K66" s="2"/>
    </row>
    <row r="67" spans="3:11" x14ac:dyDescent="0.35">
      <c r="C67" s="2"/>
      <c r="D67" s="2"/>
      <c r="E67" s="2"/>
      <c r="G67" s="2"/>
      <c r="H67" s="2"/>
      <c r="I67" s="2"/>
      <c r="J67" s="2"/>
      <c r="K67" s="2"/>
    </row>
    <row r="68" spans="3:11" x14ac:dyDescent="0.35">
      <c r="C68" s="2"/>
      <c r="D68" s="2"/>
      <c r="E68" s="2"/>
      <c r="G68" s="2"/>
      <c r="H68" s="2"/>
      <c r="I68" s="2"/>
      <c r="J68" s="2"/>
      <c r="K68" s="2"/>
    </row>
    <row r="69" spans="3:11" x14ac:dyDescent="0.35">
      <c r="C69" s="2"/>
      <c r="D69" s="2"/>
      <c r="E69" s="2"/>
      <c r="G69" s="2"/>
      <c r="H69" s="2"/>
      <c r="I69" s="2"/>
      <c r="J69" s="2"/>
      <c r="K69" s="2"/>
    </row>
    <row r="70" spans="3:11" x14ac:dyDescent="0.35">
      <c r="C70" s="2"/>
      <c r="D70" s="2"/>
      <c r="E70" s="2"/>
      <c r="G70" s="2"/>
      <c r="H70" s="2"/>
      <c r="I70" s="2"/>
      <c r="J70" s="2"/>
      <c r="K70" s="2"/>
    </row>
    <row r="71" spans="3:11" x14ac:dyDescent="0.35">
      <c r="C71" s="2"/>
      <c r="D71" s="2"/>
      <c r="E71" s="2"/>
      <c r="G71" s="2"/>
      <c r="H71" s="2"/>
      <c r="I71" s="2"/>
      <c r="J71" s="2"/>
      <c r="K71" s="2"/>
    </row>
    <row r="72" spans="3:11" x14ac:dyDescent="0.35">
      <c r="C72" s="2"/>
      <c r="D72" s="2"/>
      <c r="E72" s="2"/>
      <c r="G72" s="2"/>
      <c r="H72" s="2"/>
      <c r="I72" s="2"/>
      <c r="J72" s="2"/>
      <c r="K72" s="2"/>
    </row>
    <row r="73" spans="3:11" x14ac:dyDescent="0.35">
      <c r="C73" s="2"/>
      <c r="D73" s="2"/>
      <c r="E73" s="2"/>
      <c r="G73" s="2"/>
      <c r="H73" s="2"/>
      <c r="I73" s="2"/>
      <c r="J73" s="2"/>
      <c r="K73" s="2"/>
    </row>
  </sheetData>
  <mergeCells count="5">
    <mergeCell ref="X5:AA5"/>
    <mergeCell ref="X6:AA6"/>
    <mergeCell ref="AC6:AG6"/>
    <mergeCell ref="AC5:AG5"/>
    <mergeCell ref="AC19:AG1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Figure 1</vt:lpstr>
      <vt:lpstr>Figure 2</vt:lpstr>
      <vt:lpstr>Figure 3</vt:lpstr>
      <vt:lpstr>Figure 4</vt:lpstr>
      <vt:lpstr>Figure 5</vt:lpstr>
      <vt:lpstr>Encadré 1</vt:lpstr>
      <vt:lpstr>Encadré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Dounia TIR</dc:creator>
  <cp:lastModifiedBy>PORTELA Mickael</cp:lastModifiedBy>
  <dcterms:created xsi:type="dcterms:W3CDTF">2020-07-27T08:44:26Z</dcterms:created>
  <dcterms:modified xsi:type="dcterms:W3CDTF">2025-07-10T06:42:01Z</dcterms:modified>
</cp:coreProperties>
</file>